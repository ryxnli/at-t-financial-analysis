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yanli/Downloads/"/>
    </mc:Choice>
  </mc:AlternateContent>
  <xr:revisionPtr revIDLastSave="0" documentId="13_ncr:1_{CC411515-F620-C044-B407-384C5DBF3ECC}" xr6:coauthVersionLast="47" xr6:coauthVersionMax="47" xr10:uidLastSave="{00000000-0000-0000-0000-000000000000}"/>
  <bookViews>
    <workbookView minimized="1" xWindow="13560" yWindow="500" windowWidth="20040" windowHeight="18740" firstSheet="2" activeTab="8" xr2:uid="{AA46BFEC-A2B9-724F-9314-D96455711BBC}"/>
  </bookViews>
  <sheets>
    <sheet name="Index" sheetId="6" r:id="rId1"/>
    <sheet name="Balance Sheets" sheetId="1" r:id="rId2"/>
    <sheet name="Income Statements " sheetId="3" r:id="rId3"/>
    <sheet name="WACC" sheetId="4" r:id="rId4"/>
    <sheet name="Cost of Equity" sheetId="2" r:id="rId5"/>
    <sheet name="Bond Yields" sheetId="5" r:id="rId6"/>
    <sheet name="TGT" sheetId="7" r:id="rId7"/>
    <sheet name="Bloomberg Case 2 AT&amp;T" sheetId="11" r:id="rId8"/>
    <sheet name="AT&amp;T Cost of Equity" sheetId="9" r:id="rId9"/>
  </sheets>
  <externalReferences>
    <externalReference r:id="rId1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9" l="1"/>
  <c r="I10" i="9"/>
  <c r="J9" i="9"/>
  <c r="I9" i="9"/>
  <c r="J8" i="9"/>
  <c r="I8" i="9"/>
  <c r="I15" i="9" s="1"/>
  <c r="L5" i="9"/>
  <c r="K5" i="9"/>
  <c r="J5" i="9"/>
  <c r="I5" i="9"/>
  <c r="L4" i="9"/>
  <c r="K4" i="9"/>
  <c r="J4" i="9"/>
  <c r="I4" i="9"/>
  <c r="L3" i="9"/>
  <c r="K3" i="9"/>
  <c r="J3" i="9"/>
  <c r="I3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12" i="4"/>
  <c r="E11" i="4"/>
  <c r="D12" i="4"/>
  <c r="D11" i="4"/>
  <c r="B29" i="2"/>
  <c r="B28" i="2"/>
  <c r="B338" i="11"/>
  <c r="C338" i="11" s="1"/>
  <c r="B333" i="11"/>
  <c r="C333" i="11" s="1"/>
  <c r="B323" i="11"/>
  <c r="C323" i="11" s="1"/>
  <c r="B306" i="11"/>
  <c r="C306" i="11" s="1"/>
  <c r="B274" i="11"/>
  <c r="C274" i="11" s="1"/>
  <c r="B269" i="11"/>
  <c r="C269" i="11" s="1"/>
  <c r="B261" i="11"/>
  <c r="C261" i="11" s="1"/>
  <c r="B253" i="11"/>
  <c r="C253" i="11" s="1"/>
  <c r="B246" i="11"/>
  <c r="C246" i="11" s="1"/>
  <c r="B241" i="11"/>
  <c r="C241" i="11" s="1"/>
  <c r="B236" i="11"/>
  <c r="C236" i="11" s="1"/>
  <c r="B235" i="11"/>
  <c r="C235" i="11" s="1"/>
  <c r="B231" i="11"/>
  <c r="C231" i="11" s="1"/>
  <c r="B230" i="11"/>
  <c r="C230" i="11" s="1"/>
  <c r="B227" i="11"/>
  <c r="C227" i="11" s="1"/>
  <c r="B225" i="11"/>
  <c r="C225" i="11" s="1"/>
  <c r="B222" i="11"/>
  <c r="C222" i="11" s="1"/>
  <c r="I218" i="11"/>
  <c r="B217" i="11"/>
  <c r="C217" i="11" s="1"/>
  <c r="I213" i="11"/>
  <c r="I212" i="11"/>
  <c r="B212" i="11"/>
  <c r="C212" i="11" s="1"/>
  <c r="I206" i="11"/>
  <c r="B206" i="11"/>
  <c r="C206" i="11" s="1"/>
  <c r="I205" i="11"/>
  <c r="I204" i="11"/>
  <c r="I199" i="11"/>
  <c r="I198" i="11"/>
  <c r="G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I200" i="11" l="1"/>
  <c r="D233" i="11"/>
  <c r="D194" i="11"/>
  <c r="D197" i="11"/>
  <c r="D206" i="11"/>
  <c r="D222" i="11"/>
  <c r="D230" i="11"/>
  <c r="D270" i="11"/>
  <c r="D286" i="11"/>
  <c r="D294" i="11"/>
  <c r="D342" i="11"/>
  <c r="D358" i="11"/>
  <c r="D366" i="11"/>
  <c r="B376" i="11"/>
  <c r="C376" i="11" s="1"/>
  <c r="B368" i="11"/>
  <c r="C368" i="11" s="1"/>
  <c r="B360" i="11"/>
  <c r="C360" i="11" s="1"/>
  <c r="B352" i="11"/>
  <c r="C352" i="11" s="1"/>
  <c r="B344" i="11"/>
  <c r="C344" i="11" s="1"/>
  <c r="B382" i="11"/>
  <c r="B374" i="11"/>
  <c r="C374" i="11" s="1"/>
  <c r="B366" i="11"/>
  <c r="C366" i="11" s="1"/>
  <c r="B358" i="11"/>
  <c r="C358" i="11" s="1"/>
  <c r="B350" i="11"/>
  <c r="C350" i="11" s="1"/>
  <c r="B342" i="11"/>
  <c r="C342" i="11" s="1"/>
  <c r="B334" i="11"/>
  <c r="C334" i="11" s="1"/>
  <c r="B326" i="11"/>
  <c r="C326" i="11" s="1"/>
  <c r="B318" i="11"/>
  <c r="C318" i="11" s="1"/>
  <c r="B310" i="11"/>
  <c r="C310" i="11" s="1"/>
  <c r="B302" i="11"/>
  <c r="C302" i="11" s="1"/>
  <c r="B294" i="11"/>
  <c r="C294" i="11" s="1"/>
  <c r="B286" i="11"/>
  <c r="C286" i="11" s="1"/>
  <c r="B278" i="11"/>
  <c r="C278" i="11" s="1"/>
  <c r="B270" i="11"/>
  <c r="C270" i="11" s="1"/>
  <c r="B262" i="11"/>
  <c r="C262" i="11" s="1"/>
  <c r="B254" i="11"/>
  <c r="C254" i="11" s="1"/>
  <c r="B380" i="11"/>
  <c r="C380" i="11" s="1"/>
  <c r="B372" i="11"/>
  <c r="C372" i="11" s="1"/>
  <c r="B364" i="11"/>
  <c r="C364" i="11" s="1"/>
  <c r="B356" i="11"/>
  <c r="C356" i="11" s="1"/>
  <c r="B348" i="11"/>
  <c r="C348" i="11" s="1"/>
  <c r="B340" i="11"/>
  <c r="C340" i="11" s="1"/>
  <c r="B332" i="11"/>
  <c r="C332" i="11" s="1"/>
  <c r="B324" i="11"/>
  <c r="C324" i="11" s="1"/>
  <c r="B316" i="11"/>
  <c r="C316" i="11" s="1"/>
  <c r="B308" i="11"/>
  <c r="C308" i="11" s="1"/>
  <c r="B300" i="11"/>
  <c r="C300" i="11" s="1"/>
  <c r="B292" i="11"/>
  <c r="C292" i="11" s="1"/>
  <c r="B284" i="11"/>
  <c r="C284" i="11" s="1"/>
  <c r="B276" i="11"/>
  <c r="C276" i="11" s="1"/>
  <c r="B268" i="11"/>
  <c r="C268" i="11" s="1"/>
  <c r="B260" i="11"/>
  <c r="C260" i="11" s="1"/>
  <c r="B252" i="11"/>
  <c r="C252" i="11" s="1"/>
  <c r="B375" i="11"/>
  <c r="C375" i="11" s="1"/>
  <c r="B367" i="11"/>
  <c r="C367" i="11" s="1"/>
  <c r="B359" i="11"/>
  <c r="C359" i="11" s="1"/>
  <c r="B351" i="11"/>
  <c r="C351" i="11" s="1"/>
  <c r="B343" i="11"/>
  <c r="C343" i="11" s="1"/>
  <c r="B335" i="11"/>
  <c r="C335" i="11" s="1"/>
  <c r="B327" i="11"/>
  <c r="C327" i="11" s="1"/>
  <c r="B319" i="11"/>
  <c r="C319" i="11" s="1"/>
  <c r="B311" i="11"/>
  <c r="C311" i="11" s="1"/>
  <c r="B303" i="11"/>
  <c r="C303" i="11" s="1"/>
  <c r="B295" i="11"/>
  <c r="C295" i="11" s="1"/>
  <c r="B287" i="11"/>
  <c r="C287" i="11" s="1"/>
  <c r="B279" i="11"/>
  <c r="C279" i="11" s="1"/>
  <c r="B271" i="11"/>
  <c r="C271" i="11" s="1"/>
  <c r="B263" i="11"/>
  <c r="C263" i="11" s="1"/>
  <c r="B255" i="11"/>
  <c r="C255" i="11" s="1"/>
  <c r="B247" i="11"/>
  <c r="C247" i="11" s="1"/>
  <c r="B381" i="11"/>
  <c r="C381" i="11" s="1"/>
  <c r="B365" i="11"/>
  <c r="C365" i="11" s="1"/>
  <c r="B349" i="11"/>
  <c r="C349" i="11" s="1"/>
  <c r="B329" i="11"/>
  <c r="C329" i="11" s="1"/>
  <c r="B298" i="11"/>
  <c r="C298" i="11" s="1"/>
  <c r="B293" i="11"/>
  <c r="C293" i="11" s="1"/>
  <c r="B288" i="11"/>
  <c r="C288" i="11" s="1"/>
  <c r="B283" i="11"/>
  <c r="C283" i="11" s="1"/>
  <c r="B265" i="11"/>
  <c r="C265" i="11" s="1"/>
  <c r="B242" i="11"/>
  <c r="C242" i="11" s="1"/>
  <c r="B234" i="11"/>
  <c r="C234" i="11" s="1"/>
  <c r="B226" i="11"/>
  <c r="C226" i="11" s="1"/>
  <c r="B220" i="11"/>
  <c r="C220" i="11" s="1"/>
  <c r="B219" i="11"/>
  <c r="C219" i="11" s="1"/>
  <c r="B218" i="11"/>
  <c r="C218" i="11" s="1"/>
  <c r="B210" i="11"/>
  <c r="C210" i="11" s="1"/>
  <c r="B207" i="11"/>
  <c r="C207" i="11" s="1"/>
  <c r="B200" i="11"/>
  <c r="C200" i="11" s="1"/>
  <c r="B371" i="11"/>
  <c r="C371" i="11" s="1"/>
  <c r="B355" i="11"/>
  <c r="C355" i="11" s="1"/>
  <c r="B339" i="11"/>
  <c r="C339" i="11" s="1"/>
  <c r="B321" i="11"/>
  <c r="C321" i="11" s="1"/>
  <c r="B290" i="11"/>
  <c r="C290" i="11" s="1"/>
  <c r="B285" i="11"/>
  <c r="C285" i="11" s="1"/>
  <c r="B280" i="11"/>
  <c r="C280" i="11" s="1"/>
  <c r="B275" i="11"/>
  <c r="C275" i="11" s="1"/>
  <c r="B257" i="11"/>
  <c r="C257" i="11" s="1"/>
  <c r="B245" i="11"/>
  <c r="C245" i="11" s="1"/>
  <c r="B237" i="11"/>
  <c r="C237" i="11" s="1"/>
  <c r="B229" i="11"/>
  <c r="C229" i="11" s="1"/>
  <c r="B221" i="11"/>
  <c r="C221" i="11" s="1"/>
  <c r="B377" i="11"/>
  <c r="C377" i="11" s="1"/>
  <c r="B361" i="11"/>
  <c r="C361" i="11" s="1"/>
  <c r="B345" i="11"/>
  <c r="C345" i="11" s="1"/>
  <c r="B336" i="11"/>
  <c r="C336" i="11" s="1"/>
  <c r="B331" i="11"/>
  <c r="C331" i="11" s="1"/>
  <c r="B313" i="11"/>
  <c r="C313" i="11" s="1"/>
  <c r="B282" i="11"/>
  <c r="C282" i="11" s="1"/>
  <c r="B277" i="11"/>
  <c r="C277" i="11" s="1"/>
  <c r="B272" i="11"/>
  <c r="C272" i="11" s="1"/>
  <c r="B267" i="11"/>
  <c r="C267" i="11" s="1"/>
  <c r="B249" i="11"/>
  <c r="C249" i="11" s="1"/>
  <c r="B240" i="11"/>
  <c r="C240" i="11" s="1"/>
  <c r="B232" i="11"/>
  <c r="C232" i="11" s="1"/>
  <c r="B224" i="11"/>
  <c r="C224" i="11" s="1"/>
  <c r="B216" i="11"/>
  <c r="C216" i="11" s="1"/>
  <c r="B208" i="11"/>
  <c r="C208" i="11" s="1"/>
  <c r="B204" i="11"/>
  <c r="C204" i="11" s="1"/>
  <c r="B201" i="11"/>
  <c r="C201" i="11" s="1"/>
  <c r="B379" i="11"/>
  <c r="C379" i="11" s="1"/>
  <c r="B363" i="11"/>
  <c r="C363" i="11" s="1"/>
  <c r="B347" i="11"/>
  <c r="C347" i="11" s="1"/>
  <c r="B322" i="11"/>
  <c r="C322" i="11" s="1"/>
  <c r="B317" i="11"/>
  <c r="C317" i="11" s="1"/>
  <c r="B312" i="11"/>
  <c r="C312" i="11" s="1"/>
  <c r="B307" i="11"/>
  <c r="C307" i="11" s="1"/>
  <c r="B289" i="11"/>
  <c r="C289" i="11" s="1"/>
  <c r="B354" i="11"/>
  <c r="C354" i="11" s="1"/>
  <c r="B305" i="11"/>
  <c r="C305" i="11" s="1"/>
  <c r="B281" i="11"/>
  <c r="C281" i="11" s="1"/>
  <c r="B273" i="11"/>
  <c r="C273" i="11" s="1"/>
  <c r="B264" i="11"/>
  <c r="C264" i="11" s="1"/>
  <c r="B256" i="11"/>
  <c r="C256" i="11" s="1"/>
  <c r="B248" i="11"/>
  <c r="C248" i="11" s="1"/>
  <c r="B203" i="11"/>
  <c r="C203" i="11" s="1"/>
  <c r="B195" i="11"/>
  <c r="C195" i="11" s="1"/>
  <c r="B378" i="11"/>
  <c r="C378" i="11" s="1"/>
  <c r="B373" i="11"/>
  <c r="C373" i="11" s="1"/>
  <c r="B341" i="11"/>
  <c r="C341" i="11" s="1"/>
  <c r="B330" i="11"/>
  <c r="C330" i="11" s="1"/>
  <c r="B325" i="11"/>
  <c r="C325" i="11" s="1"/>
  <c r="B320" i="11"/>
  <c r="C320" i="11" s="1"/>
  <c r="B315" i="11"/>
  <c r="C315" i="11" s="1"/>
  <c r="B199" i="11"/>
  <c r="C199" i="11" s="1"/>
  <c r="B197" i="11"/>
  <c r="C197" i="11" s="1"/>
  <c r="B346" i="11"/>
  <c r="C346" i="11" s="1"/>
  <c r="B353" i="11"/>
  <c r="C353" i="11" s="1"/>
  <c r="B314" i="11"/>
  <c r="C314" i="11" s="1"/>
  <c r="B309" i="11"/>
  <c r="C309" i="11" s="1"/>
  <c r="B304" i="11"/>
  <c r="C304" i="11" s="1"/>
  <c r="B299" i="11"/>
  <c r="C299" i="11" s="1"/>
  <c r="B259" i="11"/>
  <c r="C259" i="11" s="1"/>
  <c r="B251" i="11"/>
  <c r="C251" i="11" s="1"/>
  <c r="B357" i="11"/>
  <c r="C357" i="11" s="1"/>
  <c r="B297" i="11"/>
  <c r="C297" i="11" s="1"/>
  <c r="B243" i="11"/>
  <c r="C243" i="11" s="1"/>
  <c r="B238" i="11"/>
  <c r="C238" i="11" s="1"/>
  <c r="B233" i="11"/>
  <c r="C233" i="11" s="1"/>
  <c r="B228" i="11"/>
  <c r="C228" i="11" s="1"/>
  <c r="B223" i="11"/>
  <c r="C223" i="11" s="1"/>
  <c r="B213" i="11"/>
  <c r="C213" i="11" s="1"/>
  <c r="B198" i="11"/>
  <c r="C198" i="11" s="1"/>
  <c r="B196" i="11"/>
  <c r="C196" i="11" s="1"/>
  <c r="B194" i="11"/>
  <c r="C194" i="11" s="1"/>
  <c r="B369" i="11"/>
  <c r="C369" i="11" s="1"/>
  <c r="B211" i="11"/>
  <c r="C211" i="11" s="1"/>
  <c r="B214" i="11"/>
  <c r="C214" i="11" s="1"/>
  <c r="B296" i="11"/>
  <c r="C296" i="11" s="1"/>
  <c r="B337" i="11"/>
  <c r="C337" i="11" s="1"/>
  <c r="B362" i="11"/>
  <c r="C362" i="11" s="1"/>
  <c r="D239" i="11"/>
  <c r="D263" i="11"/>
  <c r="I191" i="11"/>
  <c r="D209" i="11" s="1"/>
  <c r="D280" i="11"/>
  <c r="D360" i="11"/>
  <c r="D201" i="11"/>
  <c r="D289" i="11"/>
  <c r="D313" i="11"/>
  <c r="D321" i="11"/>
  <c r="D361" i="11"/>
  <c r="D377" i="11"/>
  <c r="B205" i="11"/>
  <c r="C205" i="11" s="1"/>
  <c r="I214" i="11"/>
  <c r="J212" i="11" s="1"/>
  <c r="K212" i="11" s="1"/>
  <c r="B215" i="11"/>
  <c r="C215" i="11" s="1"/>
  <c r="B250" i="11"/>
  <c r="C250" i="11" s="1"/>
  <c r="B258" i="11"/>
  <c r="C258" i="11" s="1"/>
  <c r="B266" i="11"/>
  <c r="C266" i="11" s="1"/>
  <c r="B301" i="11"/>
  <c r="C301" i="11" s="1"/>
  <c r="B370" i="11"/>
  <c r="C370" i="11" s="1"/>
  <c r="D279" i="11"/>
  <c r="D359" i="11"/>
  <c r="D375" i="11"/>
  <c r="D234" i="11"/>
  <c r="D250" i="11"/>
  <c r="D258" i="11"/>
  <c r="D266" i="11"/>
  <c r="D306" i="11"/>
  <c r="D314" i="11"/>
  <c r="D322" i="11"/>
  <c r="D330" i="11"/>
  <c r="D370" i="11"/>
  <c r="D378" i="11"/>
  <c r="B209" i="11"/>
  <c r="C209" i="11" s="1"/>
  <c r="B239" i="11"/>
  <c r="C239" i="11" s="1"/>
  <c r="B244" i="11"/>
  <c r="C244" i="11" s="1"/>
  <c r="B328" i="11"/>
  <c r="C328" i="11" s="1"/>
  <c r="D255" i="11"/>
  <c r="D271" i="11"/>
  <c r="D295" i="11"/>
  <c r="D303" i="11"/>
  <c r="I207" i="11"/>
  <c r="D242" i="11"/>
  <c r="D211" i="11"/>
  <c r="D299" i="11"/>
  <c r="B202" i="11"/>
  <c r="C202" i="11" s="1"/>
  <c r="B291" i="11"/>
  <c r="C291" i="11" s="1"/>
  <c r="D208" i="11"/>
  <c r="D216" i="11"/>
  <c r="D224" i="11"/>
  <c r="D272" i="11"/>
  <c r="D296" i="11"/>
  <c r="D320" i="11"/>
  <c r="D328" i="11"/>
  <c r="D259" i="11"/>
  <c r="D267" i="11"/>
  <c r="D291" i="11"/>
  <c r="D315" i="11"/>
  <c r="D371" i="11"/>
  <c r="D235" i="11"/>
  <c r="D204" i="11"/>
  <c r="D252" i="11"/>
  <c r="D292" i="11"/>
  <c r="D300" i="11"/>
  <c r="D308" i="11"/>
  <c r="D316" i="11"/>
  <c r="D356" i="11"/>
  <c r="D364" i="11"/>
  <c r="D372" i="11"/>
  <c r="D380" i="11"/>
  <c r="D253" i="11"/>
  <c r="D261" i="11"/>
  <c r="D269" i="11"/>
  <c r="D277" i="11"/>
  <c r="D285" i="11"/>
  <c r="D317" i="11"/>
  <c r="D325" i="11"/>
  <c r="D333" i="11"/>
  <c r="D341" i="11"/>
  <c r="D349" i="11"/>
  <c r="D381" i="11"/>
  <c r="E209" i="11" l="1"/>
  <c r="F209" i="11"/>
  <c r="F380" i="11"/>
  <c r="E380" i="11"/>
  <c r="E224" i="11"/>
  <c r="F224" i="11"/>
  <c r="F330" i="11"/>
  <c r="E330" i="11"/>
  <c r="F294" i="11"/>
  <c r="E294" i="11"/>
  <c r="F204" i="11"/>
  <c r="E204" i="11"/>
  <c r="E295" i="11"/>
  <c r="F295" i="11"/>
  <c r="F360" i="11"/>
  <c r="E360" i="11"/>
  <c r="E358" i="11"/>
  <c r="F358" i="11"/>
  <c r="E286" i="11"/>
  <c r="F286" i="11"/>
  <c r="F222" i="11"/>
  <c r="E222" i="11"/>
  <c r="F194" i="11"/>
  <c r="E194" i="11"/>
  <c r="E333" i="11"/>
  <c r="F333" i="11"/>
  <c r="E269" i="11"/>
  <c r="F269" i="11"/>
  <c r="F364" i="11"/>
  <c r="E364" i="11"/>
  <c r="F300" i="11"/>
  <c r="E300" i="11"/>
  <c r="E235" i="11"/>
  <c r="F235" i="11"/>
  <c r="F267" i="11"/>
  <c r="E267" i="11"/>
  <c r="F296" i="11"/>
  <c r="E296" i="11"/>
  <c r="E208" i="11"/>
  <c r="F208" i="11"/>
  <c r="F242" i="11"/>
  <c r="E242" i="11"/>
  <c r="E271" i="11"/>
  <c r="F271" i="11"/>
  <c r="F378" i="11"/>
  <c r="E378" i="11"/>
  <c r="F314" i="11"/>
  <c r="E314" i="11"/>
  <c r="F250" i="11"/>
  <c r="E250" i="11"/>
  <c r="D335" i="11"/>
  <c r="D369" i="11"/>
  <c r="D305" i="11"/>
  <c r="D304" i="11"/>
  <c r="D215" i="11"/>
  <c r="D350" i="11"/>
  <c r="D278" i="11"/>
  <c r="D214" i="11"/>
  <c r="D223" i="11"/>
  <c r="E252" i="11"/>
  <c r="F252" i="11"/>
  <c r="F299" i="11"/>
  <c r="E299" i="11"/>
  <c r="E263" i="11"/>
  <c r="F263" i="11"/>
  <c r="F366" i="11"/>
  <c r="E366" i="11"/>
  <c r="E341" i="11"/>
  <c r="F341" i="11"/>
  <c r="E308" i="11"/>
  <c r="F308" i="11"/>
  <c r="F216" i="11"/>
  <c r="E216" i="11"/>
  <c r="F322" i="11"/>
  <c r="E322" i="11"/>
  <c r="C382" i="11"/>
  <c r="E261" i="11"/>
  <c r="F261" i="11"/>
  <c r="F356" i="11"/>
  <c r="E356" i="11"/>
  <c r="F259" i="11"/>
  <c r="E259" i="11"/>
  <c r="F272" i="11"/>
  <c r="E272" i="11"/>
  <c r="E255" i="11"/>
  <c r="F255" i="11"/>
  <c r="E234" i="11"/>
  <c r="F234" i="11"/>
  <c r="E279" i="11"/>
  <c r="F279" i="11"/>
  <c r="F289" i="11"/>
  <c r="E289" i="11"/>
  <c r="F270" i="11"/>
  <c r="E270" i="11"/>
  <c r="E317" i="11"/>
  <c r="F317" i="11"/>
  <c r="D382" i="11"/>
  <c r="D275" i="11"/>
  <c r="D352" i="11"/>
  <c r="D283" i="11"/>
  <c r="D376" i="11"/>
  <c r="D245" i="11"/>
  <c r="D368" i="11"/>
  <c r="D248" i="11"/>
  <c r="D228" i="11"/>
  <c r="D219" i="11"/>
  <c r="D195" i="11"/>
  <c r="D297" i="11"/>
  <c r="D200" i="11"/>
  <c r="D213" i="11"/>
  <c r="D344" i="11"/>
  <c r="D312" i="11"/>
  <c r="D265" i="11"/>
  <c r="D307" i="11"/>
  <c r="D273" i="11"/>
  <c r="D281" i="11"/>
  <c r="D225" i="11"/>
  <c r="D203" i="11"/>
  <c r="D196" i="11"/>
  <c r="D220" i="11"/>
  <c r="D262" i="11"/>
  <c r="D309" i="11"/>
  <c r="D205" i="11"/>
  <c r="D276" i="11"/>
  <c r="D339" i="11"/>
  <c r="D243" i="11"/>
  <c r="D256" i="11"/>
  <c r="D379" i="11"/>
  <c r="D367" i="11"/>
  <c r="D236" i="11"/>
  <c r="D354" i="11"/>
  <c r="D290" i="11"/>
  <c r="D218" i="11"/>
  <c r="D231" i="11"/>
  <c r="D345" i="11"/>
  <c r="D249" i="11"/>
  <c r="D343" i="11"/>
  <c r="D326" i="11"/>
  <c r="D254" i="11"/>
  <c r="D237" i="11"/>
  <c r="D311" i="11"/>
  <c r="E285" i="11"/>
  <c r="F285" i="11"/>
  <c r="F315" i="11"/>
  <c r="E315" i="11"/>
  <c r="E375" i="11"/>
  <c r="F375" i="11"/>
  <c r="F201" i="11"/>
  <c r="E201" i="11"/>
  <c r="F230" i="11"/>
  <c r="E230" i="11"/>
  <c r="E277" i="11"/>
  <c r="F277" i="11"/>
  <c r="F291" i="11"/>
  <c r="E291" i="11"/>
  <c r="E211" i="11"/>
  <c r="F211" i="11"/>
  <c r="F258" i="11"/>
  <c r="E258" i="11"/>
  <c r="E377" i="11"/>
  <c r="F377" i="11"/>
  <c r="E239" i="11"/>
  <c r="F239" i="11"/>
  <c r="E325" i="11"/>
  <c r="F325" i="11"/>
  <c r="F371" i="11"/>
  <c r="E371" i="11"/>
  <c r="F306" i="11"/>
  <c r="E306" i="11"/>
  <c r="E361" i="11"/>
  <c r="F361" i="11"/>
  <c r="F233" i="11"/>
  <c r="E233" i="11"/>
  <c r="F381" i="11"/>
  <c r="E381" i="11"/>
  <c r="D348" i="11"/>
  <c r="D355" i="11"/>
  <c r="D207" i="11"/>
  <c r="D298" i="11"/>
  <c r="D257" i="11"/>
  <c r="D334" i="11"/>
  <c r="D346" i="11"/>
  <c r="D244" i="11"/>
  <c r="D337" i="11"/>
  <c r="D241" i="11"/>
  <c r="D318" i="11"/>
  <c r="D246" i="11"/>
  <c r="D229" i="11"/>
  <c r="D199" i="11"/>
  <c r="E349" i="11"/>
  <c r="F349" i="11"/>
  <c r="F316" i="11"/>
  <c r="E316" i="11"/>
  <c r="F328" i="11"/>
  <c r="E328" i="11"/>
  <c r="E303" i="11"/>
  <c r="F303" i="11"/>
  <c r="F266" i="11"/>
  <c r="E266" i="11"/>
  <c r="F321" i="11"/>
  <c r="E321" i="11"/>
  <c r="F197" i="11"/>
  <c r="E197" i="11"/>
  <c r="F372" i="11"/>
  <c r="E372" i="11"/>
  <c r="F320" i="11"/>
  <c r="E320" i="11"/>
  <c r="E359" i="11"/>
  <c r="F359" i="11"/>
  <c r="E313" i="11"/>
  <c r="F313" i="11"/>
  <c r="F292" i="11"/>
  <c r="E292" i="11"/>
  <c r="F370" i="11"/>
  <c r="E370" i="11"/>
  <c r="F280" i="11"/>
  <c r="E280" i="11"/>
  <c r="E342" i="11"/>
  <c r="F342" i="11"/>
  <c r="F206" i="11"/>
  <c r="E206" i="11"/>
  <c r="E253" i="11"/>
  <c r="F253" i="11"/>
  <c r="D284" i="11"/>
  <c r="D251" i="11"/>
  <c r="D264" i="11"/>
  <c r="D288" i="11"/>
  <c r="D362" i="11"/>
  <c r="D226" i="11"/>
  <c r="D247" i="11"/>
  <c r="D353" i="11"/>
  <c r="D198" i="11"/>
  <c r="D373" i="11"/>
  <c r="D340" i="11"/>
  <c r="D365" i="11"/>
  <c r="D301" i="11"/>
  <c r="D227" i="11"/>
  <c r="D332" i="11"/>
  <c r="D268" i="11"/>
  <c r="D331" i="11"/>
  <c r="D240" i="11"/>
  <c r="D363" i="11"/>
  <c r="D351" i="11"/>
  <c r="D282" i="11"/>
  <c r="D210" i="11"/>
  <c r="D319" i="11"/>
  <c r="D357" i="11"/>
  <c r="D293" i="11"/>
  <c r="J213" i="11"/>
  <c r="D324" i="11"/>
  <c r="D260" i="11"/>
  <c r="D323" i="11"/>
  <c r="D336" i="11"/>
  <c r="D232" i="11"/>
  <c r="D347" i="11"/>
  <c r="D327" i="11"/>
  <c r="D338" i="11"/>
  <c r="D274" i="11"/>
  <c r="D202" i="11"/>
  <c r="D212" i="11"/>
  <c r="D329" i="11"/>
  <c r="D217" i="11"/>
  <c r="D287" i="11"/>
  <c r="D374" i="11"/>
  <c r="D310" i="11"/>
  <c r="D238" i="11"/>
  <c r="D221" i="11"/>
  <c r="D302" i="11"/>
  <c r="F347" i="11" l="1"/>
  <c r="E347" i="11"/>
  <c r="F344" i="11"/>
  <c r="E344" i="11"/>
  <c r="F232" i="11"/>
  <c r="E232" i="11"/>
  <c r="E332" i="11"/>
  <c r="F332" i="11"/>
  <c r="F346" i="11"/>
  <c r="E346" i="11"/>
  <c r="F231" i="11"/>
  <c r="E231" i="11"/>
  <c r="E243" i="11"/>
  <c r="F243" i="11"/>
  <c r="E203" i="11"/>
  <c r="F203" i="11"/>
  <c r="F213" i="11"/>
  <c r="E213" i="11"/>
  <c r="F245" i="11"/>
  <c r="E245" i="11"/>
  <c r="F304" i="11"/>
  <c r="E304" i="11"/>
  <c r="F329" i="11"/>
  <c r="E329" i="11"/>
  <c r="F336" i="11"/>
  <c r="E336" i="11"/>
  <c r="E210" i="11"/>
  <c r="F210" i="11"/>
  <c r="E227" i="11"/>
  <c r="F227" i="11"/>
  <c r="F226" i="11"/>
  <c r="E226" i="11"/>
  <c r="F199" i="11"/>
  <c r="E199" i="11"/>
  <c r="F334" i="11"/>
  <c r="E334" i="11"/>
  <c r="E311" i="11"/>
  <c r="F311" i="11"/>
  <c r="F218" i="11"/>
  <c r="E218" i="11"/>
  <c r="F339" i="11"/>
  <c r="E339" i="11"/>
  <c r="F225" i="11"/>
  <c r="E225" i="11"/>
  <c r="F200" i="11"/>
  <c r="E200" i="11"/>
  <c r="F376" i="11"/>
  <c r="E376" i="11"/>
  <c r="F305" i="11"/>
  <c r="E305" i="11"/>
  <c r="E353" i="11"/>
  <c r="F353" i="11"/>
  <c r="E345" i="11"/>
  <c r="F345" i="11"/>
  <c r="F368" i="11"/>
  <c r="E368" i="11"/>
  <c r="E215" i="11"/>
  <c r="F215" i="11"/>
  <c r="E319" i="11"/>
  <c r="F319" i="11"/>
  <c r="F302" i="11"/>
  <c r="E302" i="11"/>
  <c r="F323" i="11"/>
  <c r="E323" i="11"/>
  <c r="F362" i="11"/>
  <c r="E362" i="11"/>
  <c r="F257" i="11"/>
  <c r="E257" i="11"/>
  <c r="F290" i="11"/>
  <c r="E290" i="11"/>
  <c r="F281" i="11"/>
  <c r="E281" i="11"/>
  <c r="F283" i="11"/>
  <c r="E283" i="11"/>
  <c r="F221" i="11"/>
  <c r="E221" i="11"/>
  <c r="E351" i="11"/>
  <c r="F351" i="11"/>
  <c r="F246" i="11"/>
  <c r="E246" i="11"/>
  <c r="F354" i="11"/>
  <c r="E354" i="11"/>
  <c r="F238" i="11"/>
  <c r="E238" i="11"/>
  <c r="F274" i="11"/>
  <c r="E274" i="11"/>
  <c r="F324" i="11"/>
  <c r="E324" i="11"/>
  <c r="F363" i="11"/>
  <c r="E363" i="11"/>
  <c r="F340" i="11"/>
  <c r="E340" i="11"/>
  <c r="F264" i="11"/>
  <c r="E264" i="11"/>
  <c r="E318" i="11"/>
  <c r="F318" i="11"/>
  <c r="F207" i="11"/>
  <c r="E207" i="11"/>
  <c r="F326" i="11"/>
  <c r="E326" i="11"/>
  <c r="F236" i="11"/>
  <c r="E236" i="11"/>
  <c r="E309" i="11"/>
  <c r="F309" i="11"/>
  <c r="F307" i="11"/>
  <c r="E307" i="11"/>
  <c r="F219" i="11"/>
  <c r="E219" i="11"/>
  <c r="F275" i="11"/>
  <c r="E275" i="11"/>
  <c r="F214" i="11"/>
  <c r="E214" i="11"/>
  <c r="E287" i="11"/>
  <c r="F287" i="11"/>
  <c r="E268" i="11"/>
  <c r="F268" i="11"/>
  <c r="F196" i="11"/>
  <c r="E196" i="11"/>
  <c r="F217" i="11"/>
  <c r="E217" i="11"/>
  <c r="E301" i="11"/>
  <c r="F301" i="11"/>
  <c r="E369" i="11"/>
  <c r="F369" i="11"/>
  <c r="F202" i="11"/>
  <c r="E202" i="11"/>
  <c r="E365" i="11"/>
  <c r="F365" i="11"/>
  <c r="F298" i="11"/>
  <c r="E298" i="11"/>
  <c r="F205" i="11"/>
  <c r="E205" i="11"/>
  <c r="E335" i="11"/>
  <c r="F335" i="11"/>
  <c r="F338" i="11"/>
  <c r="E338" i="11"/>
  <c r="F240" i="11"/>
  <c r="E240" i="11"/>
  <c r="F251" i="11"/>
  <c r="E251" i="11"/>
  <c r="F241" i="11"/>
  <c r="E241" i="11"/>
  <c r="F355" i="11"/>
  <c r="E355" i="11"/>
  <c r="E343" i="11"/>
  <c r="F343" i="11"/>
  <c r="E367" i="11"/>
  <c r="F367" i="11"/>
  <c r="F262" i="11"/>
  <c r="E262" i="11"/>
  <c r="F265" i="11"/>
  <c r="E265" i="11"/>
  <c r="F228" i="11"/>
  <c r="E228" i="11"/>
  <c r="E278" i="11"/>
  <c r="F278" i="11"/>
  <c r="E357" i="11"/>
  <c r="F357" i="11"/>
  <c r="F244" i="11"/>
  <c r="E244" i="11"/>
  <c r="F256" i="11"/>
  <c r="E256" i="11"/>
  <c r="E247" i="11"/>
  <c r="F247" i="11"/>
  <c r="F212" i="11"/>
  <c r="E212" i="11"/>
  <c r="F282" i="11"/>
  <c r="E282" i="11"/>
  <c r="E229" i="11"/>
  <c r="F229" i="11"/>
  <c r="F237" i="11"/>
  <c r="E237" i="11"/>
  <c r="E276" i="11"/>
  <c r="F276" i="11"/>
  <c r="F297" i="11"/>
  <c r="E297" i="11"/>
  <c r="E260" i="11"/>
  <c r="F260" i="11"/>
  <c r="F288" i="11"/>
  <c r="E288" i="11"/>
  <c r="E254" i="11"/>
  <c r="F254" i="11"/>
  <c r="F273" i="11"/>
  <c r="E273" i="11"/>
  <c r="E195" i="11"/>
  <c r="E382" i="11" s="1"/>
  <c r="I219" i="11" s="1"/>
  <c r="F195" i="11"/>
  <c r="F352" i="11"/>
  <c r="E352" i="11"/>
  <c r="F223" i="11"/>
  <c r="E223" i="11"/>
  <c r="F310" i="11"/>
  <c r="E310" i="11"/>
  <c r="E373" i="11"/>
  <c r="F373" i="11"/>
  <c r="E374" i="11"/>
  <c r="F374" i="11"/>
  <c r="E327" i="11"/>
  <c r="F327" i="11"/>
  <c r="E293" i="11"/>
  <c r="F293" i="11"/>
  <c r="F331" i="11"/>
  <c r="E331" i="11"/>
  <c r="F198" i="11"/>
  <c r="F382" i="11" s="1"/>
  <c r="I201" i="11" s="1"/>
  <c r="K213" i="11" s="1"/>
  <c r="K214" i="11" s="1"/>
  <c r="E198" i="11"/>
  <c r="F284" i="11"/>
  <c r="E284" i="11"/>
  <c r="E337" i="11"/>
  <c r="F337" i="11"/>
  <c r="F348" i="11"/>
  <c r="E348" i="11"/>
  <c r="E249" i="11"/>
  <c r="F249" i="11"/>
  <c r="F379" i="11"/>
  <c r="E379" i="11"/>
  <c r="E220" i="11"/>
  <c r="F220" i="11"/>
  <c r="F312" i="11"/>
  <c r="E312" i="11"/>
  <c r="F248" i="11"/>
  <c r="E248" i="11"/>
  <c r="E350" i="11"/>
  <c r="F350" i="11"/>
  <c r="I220" i="11" l="1"/>
  <c r="J218" i="11" s="1"/>
  <c r="K218" i="11" s="1"/>
  <c r="J219" i="11" l="1"/>
  <c r="K219" i="11" s="1"/>
  <c r="K220" i="11" s="1"/>
  <c r="B24" i="7"/>
  <c r="B15" i="7"/>
  <c r="B14" i="7"/>
  <c r="C6" i="7"/>
  <c r="B6" i="7"/>
  <c r="D5" i="7" s="1"/>
  <c r="G5" i="7"/>
  <c r="G4" i="7"/>
  <c r="E18" i="5"/>
  <c r="B16" i="5"/>
  <c r="B17" i="5" s="1"/>
  <c r="B18" i="5" s="1"/>
  <c r="B19" i="2"/>
  <c r="B18" i="2"/>
  <c r="B6" i="4"/>
  <c r="C6" i="4"/>
  <c r="C13" i="4"/>
  <c r="B13" i="4"/>
  <c r="G12" i="4"/>
  <c r="I12" i="4"/>
  <c r="G11" i="4"/>
  <c r="G5" i="4"/>
  <c r="G4" i="4"/>
  <c r="E5" i="4"/>
  <c r="E4" i="4"/>
  <c r="E6" i="4" s="1"/>
  <c r="B7" i="5"/>
  <c r="B8" i="5" s="1"/>
  <c r="B9" i="5" s="1"/>
  <c r="E8" i="5"/>
  <c r="B7" i="2"/>
  <c r="B8" i="2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B85" i="3"/>
  <c r="C85" i="3"/>
  <c r="D85" i="3"/>
  <c r="E85" i="3"/>
  <c r="F85" i="3"/>
  <c r="B82" i="3"/>
  <c r="C82" i="3"/>
  <c r="D82" i="3"/>
  <c r="E82" i="3"/>
  <c r="F82" i="3"/>
  <c r="J48" i="3"/>
  <c r="F8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8" i="3"/>
  <c r="F79" i="3"/>
  <c r="F80" i="3"/>
  <c r="F81" i="3"/>
  <c r="F83" i="3"/>
  <c r="F84" i="3"/>
  <c r="F86" i="3"/>
  <c r="F87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3" i="3"/>
  <c r="E84" i="3"/>
  <c r="E86" i="3"/>
  <c r="E87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3" i="3"/>
  <c r="D84" i="3"/>
  <c r="D86" i="3"/>
  <c r="D87" i="3"/>
  <c r="D88" i="3"/>
  <c r="F48" i="3"/>
  <c r="E48" i="3"/>
  <c r="D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8" i="3"/>
  <c r="C79" i="3"/>
  <c r="C80" i="3"/>
  <c r="C81" i="3"/>
  <c r="C83" i="3"/>
  <c r="C84" i="3"/>
  <c r="C86" i="3"/>
  <c r="C87" i="3"/>
  <c r="C88" i="3"/>
  <c r="C48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8" i="3"/>
  <c r="B79" i="3"/>
  <c r="B80" i="3"/>
  <c r="B81" i="3"/>
  <c r="B83" i="3"/>
  <c r="B84" i="3"/>
  <c r="B86" i="3"/>
  <c r="B87" i="3"/>
  <c r="B88" i="3"/>
  <c r="B49" i="3"/>
  <c r="B50" i="3"/>
  <c r="B51" i="3"/>
  <c r="B48" i="3"/>
  <c r="F102" i="1"/>
  <c r="M92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32" i="1"/>
  <c r="M133" i="1"/>
  <c r="M134" i="1"/>
  <c r="M135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4" i="1"/>
  <c r="M166" i="1"/>
  <c r="M167" i="1"/>
  <c r="M168" i="1"/>
  <c r="L92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32" i="1"/>
  <c r="L133" i="1"/>
  <c r="L134" i="1"/>
  <c r="L135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4" i="1"/>
  <c r="L166" i="1"/>
  <c r="L167" i="1"/>
  <c r="L168" i="1"/>
  <c r="K92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32" i="1"/>
  <c r="K133" i="1"/>
  <c r="K134" i="1"/>
  <c r="K135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4" i="1"/>
  <c r="K166" i="1"/>
  <c r="K167" i="1"/>
  <c r="K168" i="1"/>
  <c r="M91" i="1"/>
  <c r="L91" i="1"/>
  <c r="K91" i="1"/>
  <c r="J92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32" i="1"/>
  <c r="J133" i="1"/>
  <c r="J134" i="1"/>
  <c r="J135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4" i="1"/>
  <c r="J166" i="1"/>
  <c r="J167" i="1"/>
  <c r="J168" i="1"/>
  <c r="J91" i="1"/>
  <c r="I92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32" i="1"/>
  <c r="I133" i="1"/>
  <c r="I134" i="1"/>
  <c r="I135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4" i="1"/>
  <c r="I166" i="1"/>
  <c r="I167" i="1"/>
  <c r="I168" i="1"/>
  <c r="I91" i="1"/>
  <c r="F92" i="1"/>
  <c r="F95" i="1"/>
  <c r="F96" i="1"/>
  <c r="F97" i="1"/>
  <c r="F98" i="1"/>
  <c r="F99" i="1"/>
  <c r="F100" i="1"/>
  <c r="F101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32" i="1"/>
  <c r="F133" i="1"/>
  <c r="F134" i="1"/>
  <c r="F135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4" i="1"/>
  <c r="F166" i="1"/>
  <c r="F167" i="1"/>
  <c r="F168" i="1"/>
  <c r="F91" i="1"/>
  <c r="E91" i="1"/>
  <c r="E104" i="1"/>
  <c r="E92" i="1"/>
  <c r="E95" i="1"/>
  <c r="E96" i="1"/>
  <c r="E97" i="1"/>
  <c r="E98" i="1"/>
  <c r="E99" i="1"/>
  <c r="E100" i="1"/>
  <c r="E102" i="1"/>
  <c r="E103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32" i="1"/>
  <c r="E133" i="1"/>
  <c r="E134" i="1"/>
  <c r="E135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4" i="1"/>
  <c r="E166" i="1"/>
  <c r="E167" i="1"/>
  <c r="E168" i="1"/>
  <c r="D167" i="1"/>
  <c r="D168" i="1"/>
  <c r="D166" i="1"/>
  <c r="D155" i="1"/>
  <c r="D156" i="1"/>
  <c r="D157" i="1"/>
  <c r="D158" i="1"/>
  <c r="D159" i="1"/>
  <c r="D160" i="1"/>
  <c r="D161" i="1"/>
  <c r="D162" i="1"/>
  <c r="D164" i="1"/>
  <c r="D154" i="1"/>
  <c r="D144" i="1"/>
  <c r="D145" i="1"/>
  <c r="D146" i="1"/>
  <c r="D147" i="1"/>
  <c r="D148" i="1"/>
  <c r="D149" i="1"/>
  <c r="D150" i="1"/>
  <c r="D151" i="1"/>
  <c r="D152" i="1"/>
  <c r="D153" i="1"/>
  <c r="D143" i="1"/>
  <c r="D138" i="1"/>
  <c r="D139" i="1"/>
  <c r="D140" i="1"/>
  <c r="D141" i="1"/>
  <c r="D142" i="1"/>
  <c r="D137" i="1"/>
  <c r="D133" i="1"/>
  <c r="D134" i="1"/>
  <c r="D135" i="1"/>
  <c r="D132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05" i="1"/>
  <c r="D103" i="1"/>
  <c r="D102" i="1"/>
  <c r="D100" i="1"/>
  <c r="D96" i="1"/>
  <c r="D97" i="1"/>
  <c r="D98" i="1"/>
  <c r="D99" i="1"/>
  <c r="D95" i="1"/>
  <c r="D92" i="1"/>
  <c r="D91" i="1"/>
  <c r="C167" i="1"/>
  <c r="C168" i="1"/>
  <c r="C166" i="1"/>
  <c r="C164" i="1"/>
  <c r="C155" i="1"/>
  <c r="C156" i="1"/>
  <c r="C157" i="1"/>
  <c r="C158" i="1"/>
  <c r="C159" i="1"/>
  <c r="C160" i="1"/>
  <c r="C161" i="1"/>
  <c r="C162" i="1"/>
  <c r="C154" i="1"/>
  <c r="C144" i="1"/>
  <c r="C145" i="1"/>
  <c r="C146" i="1"/>
  <c r="C147" i="1"/>
  <c r="C148" i="1"/>
  <c r="C149" i="1"/>
  <c r="C150" i="1"/>
  <c r="C151" i="1"/>
  <c r="C152" i="1"/>
  <c r="C153" i="1"/>
  <c r="C143" i="1"/>
  <c r="C138" i="1"/>
  <c r="C139" i="1"/>
  <c r="C140" i="1"/>
  <c r="C141" i="1"/>
  <c r="C142" i="1"/>
  <c r="C137" i="1"/>
  <c r="C133" i="1"/>
  <c r="C134" i="1"/>
  <c r="C135" i="1"/>
  <c r="C132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05" i="1"/>
  <c r="C103" i="1"/>
  <c r="C102" i="1"/>
  <c r="C100" i="1"/>
  <c r="C99" i="1"/>
  <c r="C98" i="1"/>
  <c r="C96" i="1"/>
  <c r="C97" i="1"/>
  <c r="C95" i="1"/>
  <c r="C92" i="1"/>
  <c r="C91" i="1"/>
  <c r="B125" i="1"/>
  <c r="B102" i="1"/>
  <c r="D104" i="1"/>
  <c r="D101" i="1"/>
  <c r="B92" i="1"/>
  <c r="B91" i="1"/>
  <c r="B104" i="1"/>
  <c r="B98" i="1"/>
  <c r="B99" i="1"/>
  <c r="B100" i="1"/>
  <c r="B103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32" i="1"/>
  <c r="B133" i="1"/>
  <c r="B134" i="1"/>
  <c r="B135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4" i="1"/>
  <c r="B166" i="1"/>
  <c r="B167" i="1"/>
  <c r="B168" i="1"/>
  <c r="B96" i="1"/>
  <c r="B97" i="1"/>
  <c r="B95" i="1"/>
  <c r="H5" i="7" l="1"/>
  <c r="D4" i="7"/>
  <c r="H4" i="7" s="1"/>
  <c r="E4" i="7"/>
  <c r="E5" i="7"/>
  <c r="I5" i="7" s="1"/>
  <c r="I5" i="4"/>
  <c r="E13" i="4"/>
  <c r="I4" i="4"/>
  <c r="H12" i="4"/>
  <c r="D5" i="4"/>
  <c r="H5" i="4" s="1"/>
  <c r="H11" i="4"/>
  <c r="D4" i="4"/>
  <c r="D6" i="4" s="1"/>
  <c r="I11" i="4"/>
  <c r="I13" i="4" s="1"/>
  <c r="D6" i="7" l="1"/>
  <c r="H6" i="7"/>
  <c r="I4" i="7"/>
  <c r="I6" i="7" s="1"/>
  <c r="E6" i="7"/>
  <c r="I6" i="4"/>
  <c r="D13" i="4"/>
  <c r="H13" i="4"/>
  <c r="H4" i="4"/>
  <c r="H6" i="4" s="1"/>
</calcChain>
</file>

<file path=xl/sharedStrings.xml><?xml version="1.0" encoding="utf-8"?>
<sst xmlns="http://schemas.openxmlformats.org/spreadsheetml/2006/main" count="1236" uniqueCount="256">
  <si>
    <t>Assets - AT&amp;T</t>
  </si>
  <si>
    <t>Assets - Verizon</t>
  </si>
  <si>
    <t>Fiscal year is January-December. All values USD Millions.</t>
  </si>
  <si>
    <t>Cash &amp; Short Term Investments</t>
  </si>
  <si>
    <t>Cash Only</t>
  </si>
  <si>
    <t>Cash &amp; Short Term Investments Growth</t>
  </si>
  <si>
    <t>-</t>
  </si>
  <si>
    <t>Cash &amp; ST Investments / Total Assets</t>
  </si>
  <si>
    <t>Total Accounts Receivable</t>
  </si>
  <si>
    <t>Accounts Receivables, Net</t>
  </si>
  <si>
    <t>Accounts Receivables, Gross</t>
  </si>
  <si>
    <t>Bad Debt/Doubtful Accounts</t>
  </si>
  <si>
    <t>Other Receivables</t>
  </si>
  <si>
    <t>Accounts Receivable Growth</t>
  </si>
  <si>
    <t>Accounts Receivable Turnover</t>
  </si>
  <si>
    <t>Inventories</t>
  </si>
  <si>
    <t>Finished Goods</t>
  </si>
  <si>
    <t>Work in Progress</t>
  </si>
  <si>
    <t>Other Current Assets</t>
  </si>
  <si>
    <t>Prepaid Expenses</t>
  </si>
  <si>
    <t xml:space="preserve">Miscellaneous Current Assets	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</si>
  <si>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</si>
  <si>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</si>
  <si>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</si>
  <si>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</si>
  <si>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</si>
  <si>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</si>
  <si>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</si>
  <si>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</si>
  <si>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Computer Software and Equipment</t>
  </si>
  <si>
    <t>Other Property, Plant &amp; Equipment</t>
  </si>
  <si>
    <t>Accumulated Depreciation</t>
  </si>
  <si>
    <t>Total Investments and Advances</t>
  </si>
  <si>
    <t>LT Investment - Affiliate Companies</t>
  </si>
  <si>
    <t>Other Long-Term Investments</t>
  </si>
  <si>
    <t>Long-Term Note Receivable</t>
  </si>
  <si>
    <t>Intangible Assets</t>
  </si>
  <si>
    <t>Net Goodwill</t>
  </si>
  <si>
    <t>Net Other Intangibles</t>
  </si>
  <si>
    <t>Other Assets</t>
  </si>
  <si>
    <t>Deferred Charges</t>
  </si>
  <si>
    <t>Tangible Other Assets</t>
  </si>
  <si>
    <t>Total Assets</t>
  </si>
  <si>
    <t xml:space="preserve">Assets - Total - Growth	</t>
  </si>
  <si>
    <t>Assets - Total - Growth</t>
  </si>
  <si>
    <t>Liabilities - AT&amp;T</t>
  </si>
  <si>
    <t>Liabilities - Verizon</t>
  </si>
  <si>
    <t>All values USD Millions.</t>
  </si>
  <si>
    <t>ST Debt &amp; Current Portion LT Debt</t>
  </si>
  <si>
    <t>Short Term Debt</t>
  </si>
  <si>
    <t>Current Portion of Long Term Debt</t>
  </si>
  <si>
    <t>Accounts Payable</t>
  </si>
  <si>
    <t>Accounts Payable Growth</t>
  </si>
  <si>
    <t>Income Tax Payable</t>
  </si>
  <si>
    <t>Other Current Liabilities</t>
  </si>
  <si>
    <t>Dividends Payable</t>
  </si>
  <si>
    <t>Accrued Payroll</t>
  </si>
  <si>
    <t>Miscellaneous Current Liabilities</t>
  </si>
  <si>
    <t>Total Current Liabilities</t>
  </si>
  <si>
    <t>Current Ratio</t>
  </si>
  <si>
    <t>Quick Ratio</t>
  </si>
  <si>
    <t>Cash Ratio</t>
  </si>
  <si>
    <t>Long-Term Debt</t>
  </si>
  <si>
    <t>Long-Term Debt excl. Capitalized Leases</t>
  </si>
  <si>
    <t>Non-Convertible Debt</t>
  </si>
  <si>
    <t>Capitalized Lease Obligations</t>
  </si>
  <si>
    <t>Provision for Risks &amp; Charges</t>
  </si>
  <si>
    <t>Deferred Taxes</t>
  </si>
  <si>
    <t>Deferred Taxes - Credit</t>
  </si>
  <si>
    <t>Other Liabilities</t>
  </si>
  <si>
    <t>Other Liabilities (excl. Deferred Income)</t>
  </si>
  <si>
    <t>Deferred Income</t>
  </si>
  <si>
    <t>Total Liabilities</t>
  </si>
  <si>
    <t>Total Liabilities / Total Assets</t>
  </si>
  <si>
    <t>Common Equity (Total)</t>
  </si>
  <si>
    <t>Common Stock Par/Carry Value</t>
  </si>
  <si>
    <t>Additional Paid-In Capital/Capital Surplus</t>
  </si>
  <si>
    <t>Retained Earnings</t>
  </si>
  <si>
    <t>ESOP Debt Guarantee</t>
  </si>
  <si>
    <t>Cumulative Translation Adjustment/Unrealized For. Exch. Gain</t>
  </si>
  <si>
    <t>Unrealized Gain/Loss Marketable Securities</t>
  </si>
  <si>
    <t>Other Appropriated Reserves</t>
  </si>
  <si>
    <t>Treasury Stock</t>
  </si>
  <si>
    <t>Common Equity / Total Assets</t>
  </si>
  <si>
    <t>Total Shareholders' Equity</t>
  </si>
  <si>
    <t>Total Shareholders' Equity / Total Assets</t>
  </si>
  <si>
    <t>Accumulated Minority Interest</t>
  </si>
  <si>
    <t>Total Equity</t>
  </si>
  <si>
    <t>Liabilities &amp; Shareholders' Equity</t>
  </si>
  <si>
    <t xml:space="preserve">At&amp;T Common Sized Balance sheet </t>
  </si>
  <si>
    <t xml:space="preserve">Verizon Common Sized Balance sheet </t>
  </si>
  <si>
    <t>AT&amp;T Income Statement</t>
  </si>
  <si>
    <t>Sales/Revenue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</si>
  <si>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</si>
  <si>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</si>
  <si>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</si>
  <si>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</si>
  <si>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</si>
  <si>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</si>
  <si>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</si>
  <si>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Research &amp; Development</t>
  </si>
  <si>
    <t>Other SG&amp;A</t>
  </si>
  <si>
    <t>EBIT</t>
  </si>
  <si>
    <t>Unusual Expense</t>
  </si>
  <si>
    <t>Non Operating Income/Expense</t>
  </si>
  <si>
    <t>Equity in Affiliates (Pretax)</t>
  </si>
  <si>
    <t>Interest Expense</t>
  </si>
  <si>
    <t>Gross Interest Expense</t>
  </si>
  <si>
    <t>Interest Capitalized</t>
  </si>
  <si>
    <t>Pretax Income</t>
  </si>
  <si>
    <t>Income Tax</t>
  </si>
  <si>
    <t>Income Tax - Current Domestic</t>
  </si>
  <si>
    <t>Income Tax - Current Foreign</t>
  </si>
  <si>
    <t>Income Tax - Deferred Domestic</t>
  </si>
  <si>
    <t>Income Tax - Deferred Foreign</t>
  </si>
  <si>
    <t>Consolidated Net Income</t>
  </si>
  <si>
    <t>Minority Interest Expense</t>
  </si>
  <si>
    <t>Net Income</t>
  </si>
  <si>
    <t>Extraordinaries &amp; Discontinued Operations</t>
  </si>
  <si>
    <t>Discontinued Operations</t>
  </si>
  <si>
    <t>Net Income After Extraordinaries</t>
  </si>
  <si>
    <t>Preferred Dividends</t>
  </si>
  <si>
    <t>Net Income Available to Common</t>
  </si>
  <si>
    <t>EPS (Basic)</t>
  </si>
  <si>
    <t>Basic Shares Outstanding</t>
  </si>
  <si>
    <t>EPS (Diluted)</t>
  </si>
  <si>
    <t>Diluted Shares Outstanding</t>
  </si>
  <si>
    <t>EBITDA</t>
  </si>
  <si>
    <t>Verizon Income Statement</t>
  </si>
  <si>
    <t>Non-Operating Interest Income</t>
  </si>
  <si>
    <t xml:space="preserve"> AT&amp;T Common Sized Income Statement</t>
  </si>
  <si>
    <t>Verizon Common Sized Income Statement</t>
  </si>
  <si>
    <t>Cost of Equity Calculations</t>
  </si>
  <si>
    <t>Beta</t>
  </si>
  <si>
    <t>MRP</t>
  </si>
  <si>
    <t>Inputs</t>
  </si>
  <si>
    <t>Outputs</t>
  </si>
  <si>
    <t>Risk-free Rate:</t>
  </si>
  <si>
    <t>Beta:</t>
  </si>
  <si>
    <t>MRP:</t>
  </si>
  <si>
    <t>Stock's Risk Premium:</t>
  </si>
  <si>
    <t>Cost of Equity (k):</t>
  </si>
  <si>
    <t>settlement</t>
  </si>
  <si>
    <t>maturity</t>
  </si>
  <si>
    <t>rate</t>
  </si>
  <si>
    <t>pr</t>
  </si>
  <si>
    <t>redemption</t>
  </si>
  <si>
    <t>frequency</t>
  </si>
  <si>
    <t>yield</t>
  </si>
  <si>
    <t>tax rate</t>
  </si>
  <si>
    <t>Debt</t>
  </si>
  <si>
    <t>Equity</t>
  </si>
  <si>
    <t>Total</t>
  </si>
  <si>
    <t>Total Book Value</t>
  </si>
  <si>
    <t>Total Market Value</t>
  </si>
  <si>
    <t>BV Weights</t>
  </si>
  <si>
    <t>MV Weights</t>
  </si>
  <si>
    <t>Cost</t>
  </si>
  <si>
    <t>after-tax cost</t>
  </si>
  <si>
    <t>BV WACC</t>
  </si>
  <si>
    <t>MV WACC</t>
  </si>
  <si>
    <t>Yields Calculator</t>
  </si>
  <si>
    <t>Table 1</t>
  </si>
  <si>
    <t>Balance Sheets</t>
  </si>
  <si>
    <t>Income Statements</t>
  </si>
  <si>
    <t>WACC</t>
  </si>
  <si>
    <t>Cost of Equity</t>
  </si>
  <si>
    <t>Bond Yields</t>
  </si>
  <si>
    <t>TVM Annuities calculators</t>
  </si>
  <si>
    <t>Face Value</t>
  </si>
  <si>
    <t>Coupon</t>
  </si>
  <si>
    <t>Price</t>
  </si>
  <si>
    <t># per/year</t>
  </si>
  <si>
    <t># of years</t>
  </si>
  <si>
    <t># of periods</t>
  </si>
  <si>
    <t>yield per period</t>
  </si>
  <si>
    <t>Target</t>
  </si>
  <si>
    <t>S&amp;P500</t>
  </si>
  <si>
    <t>S&amp;P</t>
  </si>
  <si>
    <t>Date</t>
  </si>
  <si>
    <t>Close</t>
  </si>
  <si>
    <t>HPR</t>
  </si>
  <si>
    <t>5-Year</t>
  </si>
  <si>
    <t>3-Year</t>
  </si>
  <si>
    <t>Average</t>
  </si>
  <si>
    <t>Median</t>
  </si>
  <si>
    <t>Stdev</t>
  </si>
  <si>
    <t>Intercept</t>
  </si>
  <si>
    <t>R-SQ</t>
  </si>
  <si>
    <t>Rf</t>
  </si>
  <si>
    <t>Re</t>
  </si>
  <si>
    <t>Open</t>
  </si>
  <si>
    <t>High</t>
  </si>
  <si>
    <t>Low</t>
  </si>
  <si>
    <t>Close </t>
  </si>
  <si>
    <t>Adj Close </t>
  </si>
  <si>
    <t>Volume</t>
  </si>
  <si>
    <t>Oct 1, 2025</t>
  </si>
  <si>
    <t>Bond Data</t>
  </si>
  <si>
    <t>Name</t>
  </si>
  <si>
    <t>Ticker</t>
  </si>
  <si>
    <t>Maturity</t>
  </si>
  <si>
    <t>Bloomberg Composite Rating</t>
  </si>
  <si>
    <t>Ask Price</t>
  </si>
  <si>
    <t>Outstanding Amount</t>
  </si>
  <si>
    <t>Ask Yield to Maturity</t>
  </si>
  <si>
    <t>Bond Market Value</t>
  </si>
  <si>
    <t>AT&amp;T Inc</t>
  </si>
  <si>
    <t>T</t>
  </si>
  <si>
    <t>BBB</t>
  </si>
  <si>
    <t>AT&amp;T DW Holdings Inc</t>
  </si>
  <si>
    <t>AT&amp;T Teleholdings Inc</t>
  </si>
  <si>
    <t>at&amp;T Enterprises LLC</t>
  </si>
  <si>
    <t>AT&amp;T Reign II Multi-Property Lease-Backed Pass-Through Trust</t>
  </si>
  <si>
    <t>ATTRII</t>
  </si>
  <si>
    <t>#N/A N/A</t>
  </si>
  <si>
    <t>New Cingular Wireless Services Inc</t>
  </si>
  <si>
    <t>NR</t>
  </si>
  <si>
    <t>AT&amp;T Mobility LLC</t>
  </si>
  <si>
    <t>Indiana Bell Telephone Co LLC</t>
  </si>
  <si>
    <t>A-</t>
  </si>
  <si>
    <t>BV</t>
  </si>
  <si>
    <t>MV</t>
  </si>
  <si>
    <t>AT&amp;t Bonds</t>
  </si>
  <si>
    <t>Wtd Avg Yield</t>
  </si>
  <si>
    <t xml:space="preserve">MV Weights </t>
  </si>
  <si>
    <t>Wtd Avg Price</t>
  </si>
  <si>
    <t>Cost of Debt After-Tax</t>
  </si>
  <si>
    <t>Income Before Tax</t>
  </si>
  <si>
    <t>Income Tax Expense</t>
  </si>
  <si>
    <t>Tax rate</t>
  </si>
  <si>
    <t>After-Tax Cost of Debt</t>
  </si>
  <si>
    <t>Risk Free Rate</t>
  </si>
  <si>
    <t>BV Capital Structure Weights &amp; WAAC</t>
  </si>
  <si>
    <t>Value</t>
  </si>
  <si>
    <t>Weights</t>
  </si>
  <si>
    <t>Weight*Cost</t>
  </si>
  <si>
    <t>BV Equity</t>
  </si>
  <si>
    <t>BV Debt</t>
  </si>
  <si>
    <t>Total BV</t>
  </si>
  <si>
    <t>BV WAAC</t>
  </si>
  <si>
    <t>MV Capital Structure Weights &amp; WAAC</t>
  </si>
  <si>
    <t>MV Equity</t>
  </si>
  <si>
    <t>MV Debt</t>
  </si>
  <si>
    <t>Total MV</t>
  </si>
  <si>
    <t>MV WAAC</t>
  </si>
  <si>
    <t xml:space="preserve">Total </t>
  </si>
  <si>
    <t>Pretax Cost of Debt</t>
  </si>
  <si>
    <t>Bloomberg Case 2 AT&amp;T</t>
  </si>
  <si>
    <t>AT&amp;T Cost of Equity</t>
  </si>
  <si>
    <t>Cost of Equity Calculations Formula</t>
  </si>
  <si>
    <t>Cost of Equity Calculations Assignment</t>
  </si>
  <si>
    <t>Cost of Equity Calculations AT&amp;T</t>
  </si>
  <si>
    <t>At&amp;T</t>
  </si>
  <si>
    <t>S&amp;P vs AT&amp;T</t>
  </si>
  <si>
    <t>AT&amp;T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</si>
</sst>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%"/>
    <numFmt numFmtId="165" formatCode="0.0000"/>
    <numFmt numFmtId="166" formatCode="0.0000%"/>
    <numFmt numFmtId="167" formatCode="0.0000000%"/>
    <numFmt numFmtId="168" formatCode="&quot;$&quot;#,##0.00"/>
    <numFmt numFmtId="169" formatCode="0.0000E+00"/>
  </numFmts>
  <fonts count="36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8"/>
      <color rgb="FF333333"/>
      <name val="Retina"/>
      <charset val="1"/>
    </font>
    <font>
      <sz val="8"/>
      <color rgb="FF000000"/>
      <name val="Retina"/>
      <charset val="1"/>
    </font>
    <font>
      <sz val="9"/>
      <color theme="1"/>
      <name val="Aptos Narrow"/>
      <family val="2"/>
      <scheme val="minor"/>
    </font>
    <font>
      <sz val="9"/>
      <color rgb="FF333333"/>
      <name val="Retina"/>
      <charset val="1"/>
    </font>
    <font>
      <sz val="9"/>
      <color rgb="FF000000"/>
      <name val="Retina"/>
      <charset val="1"/>
    </font>
    <font>
      <sz val="9"/>
      <color rgb="FFFF0000"/>
      <name val="Retina"/>
      <charset val="1"/>
    </font>
    <font>
      <sz val="9"/>
      <color rgb="FF45923D"/>
      <name val="Retina"/>
      <charset val="1"/>
    </font>
    <font>
      <sz val="18"/>
      <color theme="1"/>
      <name val="Aptos Narrow"/>
      <family val="2"/>
      <scheme val="minor"/>
    </font>
    <font>
      <sz val="18"/>
      <color rgb="FF000000"/>
      <name val="Retina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4"/>
      <color rgb="FF000000"/>
      <name val="Calibri"/>
      <family val="2"/>
    </font>
    <font>
      <b/>
      <sz val="12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4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sz val="11"/>
      <color theme="1"/>
      <name val="Calibri"/>
      <family val="2"/>
    </font>
    <font>
      <b/>
      <sz val="7"/>
      <color rgb="FF333333"/>
      <name val="Helvetica"/>
      <family val="2"/>
    </font>
    <font>
      <sz val="7"/>
      <color rgb="FF333333"/>
      <name val="Arial"/>
      <family val="2"/>
    </font>
    <font>
      <b/>
      <sz val="11"/>
      <color theme="1"/>
      <name val="Calibri"/>
      <family val="2"/>
    </font>
    <font>
      <sz val="11"/>
      <color rgb="FF232A31"/>
      <name val="Arial"/>
      <family val="2"/>
    </font>
    <font>
      <b/>
      <sz val="9"/>
      <color theme="1"/>
      <name val="Aptos Narrow"/>
      <scheme val="minor"/>
    </font>
    <font>
      <sz val="9"/>
      <name val="Arial"/>
      <family val="2"/>
    </font>
    <font>
      <b/>
      <sz val="9"/>
      <name val="Arial"/>
      <family val="2"/>
    </font>
    <font>
      <sz val="7"/>
      <color rgb="FF232A31"/>
      <name val="Helvetica"/>
      <family val="2"/>
    </font>
    <font>
      <sz val="7"/>
      <color rgb="FF232A31"/>
      <name val="Arial"/>
      <family val="2"/>
    </font>
    <font>
      <sz val="7"/>
      <color theme="1"/>
      <name val="Helvetica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5E5E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2" fillId="0" borderId="0" xfId="0" applyFont="1"/>
    <xf numFmtId="10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10" fontId="0" fillId="0" borderId="0" xfId="0" applyNumberFormat="1"/>
    <xf numFmtId="0" fontId="6" fillId="0" borderId="1" xfId="0" applyFont="1" applyBorder="1" applyAlignment="1">
      <alignment wrapText="1"/>
    </xf>
    <xf numFmtId="0" fontId="8" fillId="0" borderId="0" xfId="0" applyFont="1"/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3" fillId="0" borderId="0" xfId="0" applyFont="1"/>
    <xf numFmtId="0" fontId="15" fillId="0" borderId="0" xfId="0" applyFont="1"/>
    <xf numFmtId="0" fontId="16" fillId="0" borderId="0" xfId="0" applyFont="1"/>
    <xf numFmtId="3" fontId="16" fillId="0" borderId="0" xfId="0" applyNumberFormat="1" applyFont="1"/>
    <xf numFmtId="10" fontId="16" fillId="0" borderId="0" xfId="0" applyNumberFormat="1" applyFont="1"/>
    <xf numFmtId="0" fontId="17" fillId="0" borderId="0" xfId="0" applyFont="1"/>
    <xf numFmtId="0" fontId="15" fillId="0" borderId="2" xfId="0" applyFont="1" applyBorder="1"/>
    <xf numFmtId="3" fontId="15" fillId="0" borderId="2" xfId="0" applyNumberFormat="1" applyFont="1" applyBorder="1"/>
    <xf numFmtId="10" fontId="15" fillId="0" borderId="2" xfId="0" applyNumberFormat="1" applyFont="1" applyBorder="1"/>
    <xf numFmtId="0" fontId="15" fillId="0" borderId="3" xfId="0" applyFont="1" applyBorder="1"/>
    <xf numFmtId="10" fontId="15" fillId="0" borderId="0" xfId="0" applyNumberFormat="1" applyFont="1"/>
    <xf numFmtId="3" fontId="15" fillId="0" borderId="3" xfId="0" applyNumberFormat="1" applyFont="1" applyBorder="1"/>
    <xf numFmtId="0" fontId="15" fillId="0" borderId="4" xfId="0" applyFont="1" applyBorder="1"/>
    <xf numFmtId="164" fontId="0" fillId="0" borderId="0" xfId="0" applyNumberFormat="1"/>
    <xf numFmtId="164" fontId="0" fillId="0" borderId="0" xfId="2" applyNumberFormat="1" applyFont="1"/>
    <xf numFmtId="2" fontId="0" fillId="0" borderId="0" xfId="0" applyNumberFormat="1"/>
    <xf numFmtId="0" fontId="18" fillId="0" borderId="0" xfId="0" applyFont="1"/>
    <xf numFmtId="14" fontId="18" fillId="6" borderId="0" xfId="0" applyNumberFormat="1" applyFont="1" applyFill="1"/>
    <xf numFmtId="10" fontId="18" fillId="6" borderId="0" xfId="0" applyNumberFormat="1" applyFont="1" applyFill="1"/>
    <xf numFmtId="0" fontId="18" fillId="6" borderId="0" xfId="0" applyFont="1" applyFill="1"/>
    <xf numFmtId="6" fontId="18" fillId="6" borderId="0" xfId="0" applyNumberFormat="1" applyFont="1" applyFill="1"/>
    <xf numFmtId="166" fontId="18" fillId="7" borderId="0" xfId="0" applyNumberFormat="1" applyFont="1" applyFill="1"/>
    <xf numFmtId="0" fontId="0" fillId="0" borderId="5" xfId="0" applyBorder="1"/>
    <xf numFmtId="0" fontId="19" fillId="0" borderId="5" xfId="0" applyFont="1" applyBorder="1"/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/>
    <xf numFmtId="167" fontId="18" fillId="7" borderId="0" xfId="0" applyNumberFormat="1" applyFont="1" applyFill="1"/>
    <xf numFmtId="0" fontId="22" fillId="0" borderId="0" xfId="7" applyAlignment="1">
      <alignment horizontal="center" vertical="center"/>
    </xf>
    <xf numFmtId="0" fontId="23" fillId="0" borderId="0" xfId="0" applyFont="1"/>
    <xf numFmtId="0" fontId="24" fillId="0" borderId="0" xfId="0" applyFont="1"/>
    <xf numFmtId="9" fontId="18" fillId="6" borderId="0" xfId="0" applyNumberFormat="1" applyFont="1" applyFill="1"/>
    <xf numFmtId="2" fontId="18" fillId="6" borderId="0" xfId="0" applyNumberFormat="1" applyFont="1" applyFill="1"/>
    <xf numFmtId="1" fontId="18" fillId="6" borderId="0" xfId="0" applyNumberFormat="1" applyFont="1" applyFill="1"/>
    <xf numFmtId="168" fontId="4" fillId="2" borderId="5" xfId="3" applyNumberFormat="1" applyFont="1" applyBorder="1" applyAlignment="1">
      <alignment horizontal="center" vertical="center"/>
    </xf>
    <xf numFmtId="168" fontId="4" fillId="2" borderId="5" xfId="1" applyNumberFormat="1" applyFont="1" applyFill="1" applyBorder="1" applyAlignment="1">
      <alignment horizontal="center" vertical="center"/>
    </xf>
    <xf numFmtId="168" fontId="4" fillId="3" borderId="5" xfId="4" applyNumberFormat="1" applyBorder="1" applyAlignment="1">
      <alignment horizontal="center" vertical="center"/>
    </xf>
    <xf numFmtId="10" fontId="4" fillId="2" borderId="5" xfId="3" applyNumberFormat="1" applyFont="1" applyBorder="1"/>
    <xf numFmtId="10" fontId="4" fillId="2" borderId="5" xfId="3" applyNumberFormat="1" applyFont="1" applyBorder="1" applyAlignment="1">
      <alignment horizontal="center" vertical="center"/>
    </xf>
    <xf numFmtId="10" fontId="4" fillId="4" borderId="5" xfId="5" applyNumberFormat="1" applyBorder="1" applyAlignment="1">
      <alignment horizontal="center" vertical="center"/>
    </xf>
    <xf numFmtId="10" fontId="4" fillId="3" borderId="5" xfId="4" applyNumberFormat="1" applyBorder="1" applyAlignment="1">
      <alignment horizontal="center" vertical="center"/>
    </xf>
    <xf numFmtId="164" fontId="18" fillId="7" borderId="0" xfId="0" applyNumberFormat="1" applyFont="1" applyFill="1"/>
    <xf numFmtId="0" fontId="0" fillId="0" borderId="6" xfId="0" applyBorder="1"/>
    <xf numFmtId="0" fontId="25" fillId="0" borderId="0" xfId="0" applyFont="1"/>
    <xf numFmtId="0" fontId="25" fillId="9" borderId="0" xfId="0" applyFont="1" applyFill="1"/>
    <xf numFmtId="0" fontId="25" fillId="8" borderId="0" xfId="0" applyFont="1" applyFill="1"/>
    <xf numFmtId="0" fontId="25" fillId="0" borderId="6" xfId="0" applyFont="1" applyBorder="1"/>
    <xf numFmtId="17" fontId="26" fillId="0" borderId="0" xfId="0" applyNumberFormat="1" applyFont="1"/>
    <xf numFmtId="8" fontId="26" fillId="0" borderId="0" xfId="0" applyNumberFormat="1" applyFont="1"/>
    <xf numFmtId="10" fontId="25" fillId="0" borderId="6" xfId="0" applyNumberFormat="1" applyFont="1" applyBorder="1"/>
    <xf numFmtId="17" fontId="27" fillId="0" borderId="0" xfId="0" applyNumberFormat="1" applyFont="1"/>
    <xf numFmtId="8" fontId="27" fillId="0" borderId="0" xfId="0" applyNumberFormat="1" applyFont="1"/>
    <xf numFmtId="10" fontId="25" fillId="0" borderId="0" xfId="0" applyNumberFormat="1" applyFont="1"/>
    <xf numFmtId="0" fontId="28" fillId="0" borderId="6" xfId="0" applyFont="1" applyBorder="1"/>
    <xf numFmtId="0" fontId="28" fillId="0" borderId="0" xfId="0" applyFont="1"/>
    <xf numFmtId="16" fontId="27" fillId="0" borderId="0" xfId="0" applyNumberFormat="1" applyFont="1"/>
    <xf numFmtId="0" fontId="27" fillId="0" borderId="0" xfId="0" applyFont="1"/>
    <xf numFmtId="0" fontId="29" fillId="9" borderId="0" xfId="0" applyFont="1" applyFill="1" applyAlignment="1">
      <alignment horizontal="center"/>
    </xf>
    <xf numFmtId="15" fontId="29" fillId="0" borderId="0" xfId="0" applyNumberFormat="1" applyFont="1"/>
    <xf numFmtId="0" fontId="29" fillId="0" borderId="0" xfId="0" applyFont="1"/>
    <xf numFmtId="3" fontId="29" fillId="0" borderId="0" xfId="0" applyNumberFormat="1" applyFont="1"/>
    <xf numFmtId="0" fontId="31" fillId="0" borderId="6" xfId="0" applyFont="1" applyBorder="1"/>
    <xf numFmtId="44" fontId="31" fillId="0" borderId="6" xfId="1" applyFont="1" applyBorder="1"/>
    <xf numFmtId="0" fontId="32" fillId="0" borderId="6" xfId="0" applyFont="1" applyBorder="1"/>
    <xf numFmtId="0" fontId="31" fillId="0" borderId="0" xfId="0" applyFont="1"/>
    <xf numFmtId="14" fontId="31" fillId="0" borderId="6" xfId="0" applyNumberFormat="1" applyFont="1" applyBorder="1"/>
    <xf numFmtId="44" fontId="8" fillId="0" borderId="6" xfId="1" applyFont="1" applyBorder="1"/>
    <xf numFmtId="0" fontId="8" fillId="0" borderId="6" xfId="0" applyFont="1" applyBorder="1"/>
    <xf numFmtId="0" fontId="8" fillId="0" borderId="9" xfId="0" applyFont="1" applyBorder="1"/>
    <xf numFmtId="44" fontId="8" fillId="0" borderId="0" xfId="1" applyFont="1"/>
    <xf numFmtId="0" fontId="30" fillId="0" borderId="6" xfId="0" applyFont="1" applyBorder="1"/>
    <xf numFmtId="169" fontId="8" fillId="0" borderId="6" xfId="0" applyNumberFormat="1" applyFont="1" applyBorder="1"/>
    <xf numFmtId="169" fontId="8" fillId="0" borderId="6" xfId="2" applyNumberFormat="1" applyFont="1" applyBorder="1"/>
    <xf numFmtId="9" fontId="8" fillId="0" borderId="6" xfId="2" applyFont="1" applyBorder="1"/>
    <xf numFmtId="166" fontId="8" fillId="10" borderId="6" xfId="2" applyNumberFormat="1" applyFont="1" applyFill="1" applyBorder="1"/>
    <xf numFmtId="166" fontId="8" fillId="0" borderId="6" xfId="2" applyNumberFormat="1" applyFont="1" applyBorder="1"/>
    <xf numFmtId="2" fontId="8" fillId="0" borderId="0" xfId="2" applyNumberFormat="1" applyFont="1"/>
    <xf numFmtId="0" fontId="30" fillId="10" borderId="6" xfId="0" applyFont="1" applyFill="1" applyBorder="1"/>
    <xf numFmtId="166" fontId="30" fillId="10" borderId="6" xfId="2" applyNumberFormat="1" applyFont="1" applyFill="1" applyBorder="1" applyAlignment="1">
      <alignment horizontal="left" indent="2"/>
    </xf>
    <xf numFmtId="0" fontId="30" fillId="10" borderId="0" xfId="0" applyFont="1" applyFill="1"/>
    <xf numFmtId="44" fontId="0" fillId="0" borderId="0" xfId="1" applyFont="1"/>
    <xf numFmtId="0" fontId="22" fillId="0" borderId="0" xfId="7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10" fillId="0" borderId="6" xfId="0" applyFont="1" applyBorder="1" applyAlignment="1">
      <alignment wrapText="1"/>
    </xf>
    <xf numFmtId="3" fontId="10" fillId="0" borderId="6" xfId="0" applyNumberFormat="1" applyFont="1" applyBorder="1" applyAlignment="1">
      <alignment wrapText="1"/>
    </xf>
    <xf numFmtId="0" fontId="10" fillId="0" borderId="6" xfId="0" quotePrefix="1" applyFont="1" applyBorder="1" applyAlignment="1">
      <alignment wrapText="1"/>
    </xf>
    <xf numFmtId="10" fontId="11" fillId="0" borderId="6" xfId="0" applyNumberFormat="1" applyFont="1" applyBorder="1" applyAlignment="1">
      <alignment wrapText="1"/>
    </xf>
    <xf numFmtId="10" fontId="12" fillId="0" borderId="6" xfId="0" applyNumberFormat="1" applyFont="1" applyBorder="1" applyAlignment="1">
      <alignment wrapText="1"/>
    </xf>
    <xf numFmtId="0" fontId="14" fillId="0" borderId="0" xfId="0" applyFont="1" applyAlignment="1">
      <alignment wrapText="1"/>
    </xf>
    <xf numFmtId="10" fontId="10" fillId="0" borderId="6" xfId="0" applyNumberFormat="1" applyFont="1" applyBorder="1" applyAlignment="1">
      <alignment wrapText="1"/>
    </xf>
    <xf numFmtId="166" fontId="0" fillId="0" borderId="6" xfId="0" applyNumberFormat="1" applyBorder="1"/>
    <xf numFmtId="165" fontId="0" fillId="0" borderId="6" xfId="0" applyNumberFormat="1" applyBorder="1"/>
    <xf numFmtId="0" fontId="4" fillId="4" borderId="6" xfId="5" applyBorder="1" applyAlignment="1">
      <alignment horizontal="center"/>
    </xf>
    <xf numFmtId="166" fontId="0" fillId="0" borderId="6" xfId="2" applyNumberFormat="1" applyFont="1" applyBorder="1"/>
    <xf numFmtId="164" fontId="0" fillId="0" borderId="6" xfId="0" applyNumberFormat="1" applyBorder="1"/>
    <xf numFmtId="2" fontId="0" fillId="0" borderId="6" xfId="0" applyNumberFormat="1" applyBorder="1"/>
    <xf numFmtId="44" fontId="33" fillId="0" borderId="0" xfId="1" applyFont="1"/>
    <xf numFmtId="44" fontId="34" fillId="0" borderId="0" xfId="1" applyFont="1"/>
    <xf numFmtId="44" fontId="35" fillId="0" borderId="0" xfId="1" applyFont="1"/>
    <xf numFmtId="166" fontId="25" fillId="0" borderId="6" xfId="2" applyNumberFormat="1" applyFont="1" applyBorder="1"/>
    <xf numFmtId="9" fontId="25" fillId="0" borderId="6" xfId="2" applyFont="1" applyBorder="1"/>
    <xf numFmtId="165" fontId="25" fillId="0" borderId="6" xfId="0" applyNumberFormat="1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5" fillId="0" borderId="2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4" fillId="5" borderId="6" xfId="6" applyBorder="1" applyAlignment="1">
      <alignment horizontal="center"/>
    </xf>
    <xf numFmtId="0" fontId="4" fillId="4" borderId="6" xfId="5" applyBorder="1" applyAlignment="1">
      <alignment horizontal="center"/>
    </xf>
    <xf numFmtId="0" fontId="4" fillId="5" borderId="0" xfId="6" applyAlignment="1">
      <alignment horizontal="center"/>
    </xf>
    <xf numFmtId="0" fontId="4" fillId="4" borderId="0" xfId="5" applyAlignment="1">
      <alignment horizontal="center"/>
    </xf>
    <xf numFmtId="0" fontId="8" fillId="0" borderId="6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30" fillId="0" borderId="9" xfId="0" applyFont="1" applyBorder="1" applyAlignment="1">
      <alignment horizontal="center"/>
    </xf>
  </cellXfs>
  <cellStyles count="8">
    <cellStyle name="20% - Accent4" xfId="4" builtinId="42"/>
    <cellStyle name="40% - Accent4" xfId="5" builtinId="43"/>
    <cellStyle name="40% - Accent6" xfId="6" builtinId="51"/>
    <cellStyle name="Currency" xfId="1" builtinId="4"/>
    <cellStyle name="Good" xfId="3" builtinId="26"/>
    <cellStyle name="Hyperlink" xfId="7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68385</xdr:colOff>
      <xdr:row>3</xdr:row>
      <xdr:rowOff>3225</xdr:rowOff>
    </xdr:from>
    <xdr:to>
      <xdr:col>12</xdr:col>
      <xdr:colOff>752231</xdr:colOff>
      <xdr:row>29</xdr:row>
      <xdr:rowOff>23580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CDCDE2-C282-D746-9846-ED08F5098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8077" y="618687"/>
          <a:ext cx="6818923" cy="53543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yanli/Downloads/Capone.Case2.xlsx" TargetMode="External"/><Relationship Id="rId1" Type="http://schemas.openxmlformats.org/officeDocument/2006/relationships/externalLinkPath" Target="Capone.Cas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Balance Sheets"/>
      <sheetName val="Income Statements "/>
      <sheetName val="Cost of Equity "/>
      <sheetName val="WACC"/>
      <sheetName val="Bond Yields "/>
      <sheetName val="Sheet1"/>
      <sheetName val="TGT Cost of Equity"/>
      <sheetName val="TGT WAAC"/>
      <sheetName val="AT&amp;T Cost of Equity"/>
      <sheetName val="Case 2 AT&amp;T"/>
      <sheetName val="Bloomberg Case 2 AT&amp;T"/>
    </sheetNames>
    <sheetDataSet>
      <sheetData sheetId="0"/>
      <sheetData sheetId="1">
        <row r="53">
          <cell r="B53">
            <v>46872</v>
          </cell>
        </row>
        <row r="67">
          <cell r="B67">
            <v>274570</v>
          </cell>
        </row>
        <row r="79">
          <cell r="B79">
            <v>104372</v>
          </cell>
        </row>
        <row r="84">
          <cell r="B84">
            <v>7200000000</v>
          </cell>
        </row>
      </sheetData>
      <sheetData sheetId="2">
        <row r="22">
          <cell r="B22">
            <v>16698</v>
          </cell>
        </row>
        <row r="23">
          <cell r="B23">
            <v>4445</v>
          </cell>
        </row>
      </sheetData>
      <sheetData sheetId="3">
        <row r="4">
          <cell r="B4">
            <v>4.0809999999999999E-2</v>
          </cell>
          <cell r="C4">
            <v>0.62</v>
          </cell>
          <cell r="D4">
            <v>4.9149999999999999E-2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BE25-2412-1640-BA28-44BA75D50D9A}">
  <dimension ref="A1:B8"/>
  <sheetViews>
    <sheetView zoomScale="211" zoomScaleNormal="211" workbookViewId="0">
      <selection activeCell="B6" sqref="B6"/>
    </sheetView>
  </sheetViews>
  <sheetFormatPr baseColWidth="10" defaultRowHeight="16"/>
  <cols>
    <col min="1" max="2" width="23.83203125" customWidth="1"/>
  </cols>
  <sheetData>
    <row r="1" spans="1:2" ht="23" customHeight="1">
      <c r="A1" s="39" t="s">
        <v>163</v>
      </c>
    </row>
    <row r="2" spans="1:2" ht="23" customHeight="1">
      <c r="A2" s="39" t="s">
        <v>164</v>
      </c>
    </row>
    <row r="3" spans="1:2" ht="23" customHeight="1">
      <c r="A3" s="39" t="s">
        <v>165</v>
      </c>
      <c r="B3" s="39" t="s">
        <v>176</v>
      </c>
    </row>
    <row r="4" spans="1:2" ht="23" customHeight="1">
      <c r="A4" s="39" t="s">
        <v>166</v>
      </c>
    </row>
    <row r="5" spans="1:2" ht="23" customHeight="1">
      <c r="A5" s="39" t="s">
        <v>167</v>
      </c>
    </row>
    <row r="6" spans="1:2" ht="23" customHeight="1">
      <c r="A6" s="92" t="s">
        <v>248</v>
      </c>
      <c r="B6" s="92" t="s">
        <v>249</v>
      </c>
    </row>
    <row r="7" spans="1:2" ht="23" customHeight="1"/>
    <row r="8" spans="1:2">
      <c r="A8" s="93"/>
    </row>
  </sheetData>
  <hyperlinks>
    <hyperlink ref="A1" location="'Balance Sheets'!A1" display="Balance Sheets" xr:uid="{397A4972-1937-324E-A4A1-2B3226A25F0D}"/>
    <hyperlink ref="A2" location="'Income Statements '!A1" display="Income Statements" xr:uid="{A110DC42-A0F1-A041-8285-67190151F292}"/>
    <hyperlink ref="A3" location="WACC!A1" display="WACC" xr:uid="{5808AD87-EE6F-AF4C-ADE8-470B1439EA72}"/>
    <hyperlink ref="A4" location="'Cost of Equity'!A1" display="Cost of Equity" xr:uid="{602E6844-E101-B540-BE24-4CFC1519FF89}"/>
    <hyperlink ref="A5" location="'Bond Yields'!A1" display="Bond Yields" xr:uid="{EBE60794-6262-4C4B-A360-5F31C76B39BE}"/>
    <hyperlink ref="B3" location="TGT!A1" display="TGT!A1" xr:uid="{0CBCCAE0-B9EB-B448-B7B4-1411B4E0F7A2}"/>
    <hyperlink ref="A6" location="'Bloomberg Case 2 AT&amp;T'!A1" display="'Bloomberg Case 2 AT&amp;T'!A1" xr:uid="{25DEDB76-3C89-5C42-9BE6-E7FC8EC9EA78}"/>
    <hyperlink ref="B6" location="'AT&amp;T Cost of Equity'!A1" display="'AT&amp;T Cost of Equity'!A1" xr:uid="{57299FA5-55F6-3E40-BAAC-33E9114618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7674-DF91-814F-944F-E5A2D7877D9E}">
  <dimension ref="A1:R169"/>
  <sheetViews>
    <sheetView zoomScale="90" zoomScaleNormal="90" workbookViewId="0">
      <selection sqref="A1:F1"/>
    </sheetView>
  </sheetViews>
  <sheetFormatPr baseColWidth="10" defaultColWidth="11" defaultRowHeight="16"/>
  <cols>
    <col min="1" max="1" width="52.1640625" bestFit="1" customWidth="1"/>
    <col min="3" max="3" width="13.1640625" bestFit="1" customWidth="1"/>
    <col min="8" max="8" width="32.6640625" customWidth="1"/>
  </cols>
  <sheetData>
    <row r="1" spans="1:17">
      <c r="A1" s="121" t="s">
        <v>0</v>
      </c>
      <c r="B1" s="121"/>
      <c r="C1" s="121"/>
      <c r="D1" s="121"/>
      <c r="E1" s="121"/>
      <c r="F1" s="121"/>
      <c r="G1" s="12"/>
      <c r="H1" s="12"/>
      <c r="I1" s="12" t="s">
        <v>1</v>
      </c>
      <c r="J1" s="12"/>
      <c r="K1" s="12"/>
      <c r="L1" s="12"/>
      <c r="M1" s="12"/>
    </row>
    <row r="2" spans="1:17">
      <c r="A2" s="17" t="s">
        <v>2</v>
      </c>
      <c r="B2" s="17">
        <v>2024</v>
      </c>
      <c r="C2" s="17">
        <v>2023</v>
      </c>
      <c r="D2" s="17">
        <v>2022</v>
      </c>
      <c r="E2" s="17">
        <v>2021</v>
      </c>
      <c r="F2" s="17">
        <v>2020</v>
      </c>
      <c r="G2" s="12"/>
      <c r="H2" s="12"/>
      <c r="I2" s="12">
        <v>2024</v>
      </c>
      <c r="J2" s="12">
        <v>2023</v>
      </c>
      <c r="K2" s="12">
        <v>2022</v>
      </c>
      <c r="L2" s="12">
        <v>2021</v>
      </c>
      <c r="M2" s="12">
        <v>2020</v>
      </c>
    </row>
    <row r="3" spans="1:17" ht="19">
      <c r="A3" s="17" t="s">
        <v>3</v>
      </c>
      <c r="B3" s="18">
        <v>3365</v>
      </c>
      <c r="C3" s="18">
        <v>6804</v>
      </c>
      <c r="D3" s="18">
        <v>3740</v>
      </c>
      <c r="E3" s="18">
        <v>19226</v>
      </c>
      <c r="F3" s="18">
        <v>9778</v>
      </c>
      <c r="G3" s="12"/>
      <c r="H3" s="16" t="s">
        <v>3</v>
      </c>
      <c r="I3" s="14">
        <v>4513</v>
      </c>
      <c r="J3" s="14">
        <v>3309</v>
      </c>
      <c r="K3" s="14">
        <v>3948</v>
      </c>
      <c r="L3" s="14">
        <v>4015</v>
      </c>
      <c r="M3" s="14">
        <v>23366</v>
      </c>
      <c r="N3" s="2"/>
      <c r="O3" s="2"/>
      <c r="P3" s="2"/>
      <c r="Q3" s="2"/>
    </row>
    <row r="4" spans="1:17" ht="19">
      <c r="A4" s="17" t="s">
        <v>4</v>
      </c>
      <c r="B4" s="18">
        <v>3299</v>
      </c>
      <c r="C4" s="18">
        <v>6724</v>
      </c>
      <c r="D4" s="18">
        <v>3702</v>
      </c>
      <c r="E4" s="18">
        <v>19226</v>
      </c>
      <c r="F4" s="18">
        <v>9749</v>
      </c>
      <c r="G4" s="12"/>
      <c r="H4" s="16" t="s">
        <v>4</v>
      </c>
      <c r="I4" s="14">
        <v>4513</v>
      </c>
      <c r="J4" s="14">
        <v>3309</v>
      </c>
      <c r="K4" s="14">
        <v>3948</v>
      </c>
      <c r="L4" s="14">
        <v>4015</v>
      </c>
      <c r="M4" s="14">
        <v>23366</v>
      </c>
      <c r="N4" s="2"/>
      <c r="O4" s="2"/>
      <c r="P4" s="2"/>
      <c r="Q4" s="2"/>
    </row>
    <row r="5" spans="1:17">
      <c r="A5" s="17" t="s">
        <v>5</v>
      </c>
      <c r="B5" s="19">
        <v>-0.50539999999999996</v>
      </c>
      <c r="C5" s="19">
        <v>0.81930000000000003</v>
      </c>
      <c r="D5" s="19">
        <v>-0.80549999999999999</v>
      </c>
      <c r="E5" s="19">
        <v>0.96630000000000005</v>
      </c>
      <c r="F5" s="17" t="s">
        <v>6</v>
      </c>
      <c r="G5" s="12"/>
      <c r="H5" s="15" t="s">
        <v>5</v>
      </c>
      <c r="I5" s="15">
        <v>0.3639</v>
      </c>
      <c r="J5" s="15">
        <v>-0.16189999999999999</v>
      </c>
      <c r="K5" s="15">
        <v>-1.67E-2</v>
      </c>
      <c r="L5" s="15">
        <v>-0.82820000000000005</v>
      </c>
      <c r="M5" s="13" t="s">
        <v>6</v>
      </c>
    </row>
    <row r="6" spans="1:17">
      <c r="A6" s="17" t="s">
        <v>7</v>
      </c>
      <c r="B6" s="19">
        <v>8.5000000000000006E-3</v>
      </c>
      <c r="C6" s="19">
        <v>1.67E-2</v>
      </c>
      <c r="D6" s="19">
        <v>9.2999999999999992E-3</v>
      </c>
      <c r="E6" s="19">
        <v>3.49E-2</v>
      </c>
      <c r="F6" s="19">
        <v>1.8599999999999998E-2</v>
      </c>
      <c r="G6" s="12"/>
      <c r="H6" s="16" t="s">
        <v>7</v>
      </c>
      <c r="I6" s="15">
        <v>1.17E-2</v>
      </c>
      <c r="J6" s="15">
        <v>8.6999999999999994E-3</v>
      </c>
      <c r="K6" s="15">
        <v>1.04E-2</v>
      </c>
      <c r="L6" s="15">
        <v>1.0999999999999999E-2</v>
      </c>
      <c r="M6" s="15">
        <v>7.3800000000000004E-2</v>
      </c>
    </row>
    <row r="7" spans="1:17" ht="19">
      <c r="A7" s="17" t="s">
        <v>8</v>
      </c>
      <c r="B7" s="18">
        <v>16668</v>
      </c>
      <c r="C7" s="18">
        <v>15134</v>
      </c>
      <c r="D7" s="18">
        <v>15685</v>
      </c>
      <c r="E7" s="18">
        <v>17018</v>
      </c>
      <c r="F7" s="18">
        <v>23745</v>
      </c>
      <c r="G7" s="12"/>
      <c r="H7" s="16" t="s">
        <v>8</v>
      </c>
      <c r="I7" s="14">
        <v>26730</v>
      </c>
      <c r="J7" s="14">
        <v>25631</v>
      </c>
      <c r="K7" s="14">
        <v>25162</v>
      </c>
      <c r="L7" s="14">
        <v>24585</v>
      </c>
      <c r="M7" s="14">
        <v>24650</v>
      </c>
      <c r="N7" s="2"/>
      <c r="O7" s="2"/>
      <c r="P7" s="2"/>
      <c r="Q7" s="2"/>
    </row>
    <row r="8" spans="1:17" ht="19">
      <c r="A8" s="17" t="s">
        <v>9</v>
      </c>
      <c r="B8" s="18">
        <v>13483</v>
      </c>
      <c r="C8" s="18">
        <v>13838</v>
      </c>
      <c r="D8" s="18">
        <v>14407</v>
      </c>
      <c r="E8" s="18">
        <v>14895</v>
      </c>
      <c r="F8" s="18">
        <v>22269</v>
      </c>
      <c r="G8" s="12"/>
      <c r="H8" s="16" t="s">
        <v>9</v>
      </c>
      <c r="I8" s="14">
        <v>26730</v>
      </c>
      <c r="J8" s="14">
        <v>25631</v>
      </c>
      <c r="K8" s="14">
        <v>25162</v>
      </c>
      <c r="L8" s="14">
        <v>24585</v>
      </c>
      <c r="M8" s="14">
        <v>24650</v>
      </c>
      <c r="N8" s="2"/>
      <c r="O8" s="2"/>
      <c r="P8" s="2"/>
      <c r="Q8" s="2"/>
    </row>
    <row r="9" spans="1:17" ht="19">
      <c r="A9" s="17" t="s">
        <v>10</v>
      </c>
      <c r="B9" s="18">
        <v>13858</v>
      </c>
      <c r="C9" s="18">
        <v>14337</v>
      </c>
      <c r="D9" s="18">
        <v>14995</v>
      </c>
      <c r="E9" s="18">
        <v>15553</v>
      </c>
      <c r="F9" s="18">
        <v>23490</v>
      </c>
      <c r="G9" s="12"/>
      <c r="H9" s="16" t="s">
        <v>10</v>
      </c>
      <c r="I9" s="14">
        <v>27882</v>
      </c>
      <c r="J9" s="14">
        <v>26648</v>
      </c>
      <c r="K9" s="14">
        <v>25988</v>
      </c>
      <c r="L9" s="14">
        <v>25481</v>
      </c>
      <c r="M9" s="14">
        <v>25902</v>
      </c>
      <c r="N9" s="2"/>
      <c r="O9" s="2"/>
      <c r="P9" s="2"/>
      <c r="Q9" s="2"/>
    </row>
    <row r="10" spans="1:17" ht="19">
      <c r="A10" s="17" t="s">
        <v>11</v>
      </c>
      <c r="B10" s="17">
        <v>-375</v>
      </c>
      <c r="C10" s="17">
        <v>-499</v>
      </c>
      <c r="D10" s="17">
        <v>-588</v>
      </c>
      <c r="E10" s="17">
        <v>-658</v>
      </c>
      <c r="F10" s="18">
        <v>-1221</v>
      </c>
      <c r="G10" s="12"/>
      <c r="H10" s="14" t="s">
        <v>11</v>
      </c>
      <c r="I10" s="14">
        <v>-1152</v>
      </c>
      <c r="J10" s="14">
        <v>-1017</v>
      </c>
      <c r="K10" s="13">
        <v>-826</v>
      </c>
      <c r="L10" s="13">
        <v>-896</v>
      </c>
      <c r="M10" s="14">
        <v>-1252</v>
      </c>
      <c r="N10" s="2"/>
      <c r="O10" s="2"/>
      <c r="P10" s="2"/>
      <c r="Q10" s="2"/>
    </row>
    <row r="11" spans="1:17">
      <c r="A11" s="17" t="s">
        <v>12</v>
      </c>
      <c r="B11" s="18">
        <v>3185</v>
      </c>
      <c r="C11" s="18">
        <v>1296</v>
      </c>
      <c r="D11" s="18">
        <v>1278</v>
      </c>
      <c r="E11" s="18">
        <v>2123</v>
      </c>
      <c r="F11" s="18">
        <v>1476</v>
      </c>
      <c r="G11" s="12"/>
      <c r="H11" s="12"/>
      <c r="I11" s="13"/>
      <c r="J11" s="13"/>
      <c r="K11" s="13"/>
      <c r="L11" s="13"/>
      <c r="M11" s="13"/>
    </row>
    <row r="12" spans="1:17">
      <c r="A12" s="17" t="s">
        <v>13</v>
      </c>
      <c r="B12" s="19">
        <v>0.1014</v>
      </c>
      <c r="C12" s="19">
        <v>-3.5099999999999999E-2</v>
      </c>
      <c r="D12" s="19">
        <v>-7.8299999999999995E-2</v>
      </c>
      <c r="E12" s="19">
        <v>-0.2833</v>
      </c>
      <c r="F12" s="17" t="s">
        <v>6</v>
      </c>
      <c r="G12" s="12"/>
      <c r="H12" s="14" t="s">
        <v>13</v>
      </c>
      <c r="I12" s="15">
        <v>4.2900000000000001E-2</v>
      </c>
      <c r="J12" s="15">
        <v>1.8599999999999998E-2</v>
      </c>
      <c r="K12" s="15">
        <v>2.35E-2</v>
      </c>
      <c r="L12" s="15">
        <v>-2.5999999999999999E-3</v>
      </c>
      <c r="M12" s="13" t="s">
        <v>6</v>
      </c>
    </row>
    <row r="13" spans="1:17">
      <c r="A13" s="17" t="s">
        <v>14</v>
      </c>
      <c r="B13" s="17">
        <v>7.34</v>
      </c>
      <c r="C13" s="17">
        <v>8.09</v>
      </c>
      <c r="D13" s="17">
        <v>7.7</v>
      </c>
      <c r="E13" s="17">
        <v>7.88</v>
      </c>
      <c r="F13" s="17">
        <v>7.23</v>
      </c>
      <c r="G13" s="12"/>
      <c r="H13" s="16" t="s">
        <v>14</v>
      </c>
      <c r="I13" s="13">
        <v>5.04</v>
      </c>
      <c r="J13" s="13">
        <v>5.23</v>
      </c>
      <c r="K13" s="13">
        <v>5.44</v>
      </c>
      <c r="L13" s="13">
        <v>5.43</v>
      </c>
      <c r="M13" s="13">
        <v>5.2</v>
      </c>
    </row>
    <row r="14" spans="1:17">
      <c r="A14" s="17" t="s">
        <v>15</v>
      </c>
      <c r="B14" s="18">
        <v>2270</v>
      </c>
      <c r="C14" s="18">
        <v>2177</v>
      </c>
      <c r="D14" s="18">
        <v>3123</v>
      </c>
      <c r="E14" s="18">
        <v>3325</v>
      </c>
      <c r="F14" s="18">
        <v>3592</v>
      </c>
      <c r="G14" s="12"/>
      <c r="H14" s="16" t="s">
        <v>15</v>
      </c>
      <c r="I14" s="14">
        <v>2247</v>
      </c>
      <c r="J14" s="14">
        <v>2057</v>
      </c>
      <c r="K14" s="14">
        <v>2388</v>
      </c>
      <c r="L14" s="14">
        <v>3055</v>
      </c>
      <c r="M14" s="14">
        <v>1796</v>
      </c>
    </row>
    <row r="15" spans="1:17" ht="19">
      <c r="A15" s="17" t="s">
        <v>16</v>
      </c>
      <c r="B15" s="17" t="s">
        <v>6</v>
      </c>
      <c r="C15" s="17" t="s">
        <v>6</v>
      </c>
      <c r="D15" s="17" t="s">
        <v>6</v>
      </c>
      <c r="E15" s="17" t="s">
        <v>6</v>
      </c>
      <c r="F15" s="18">
        <v>3592</v>
      </c>
      <c r="G15" s="12"/>
      <c r="H15" s="16" t="s">
        <v>16</v>
      </c>
      <c r="I15" s="14">
        <v>2247</v>
      </c>
      <c r="J15" s="14">
        <v>2057</v>
      </c>
      <c r="K15" s="14">
        <v>2388</v>
      </c>
      <c r="L15" s="14">
        <v>3055</v>
      </c>
      <c r="M15" s="14">
        <v>1796</v>
      </c>
      <c r="N15" s="2"/>
      <c r="O15" s="2"/>
      <c r="P15" s="2"/>
      <c r="Q15" s="2"/>
    </row>
    <row r="16" spans="1:17" ht="19">
      <c r="A16" s="17" t="s">
        <v>17</v>
      </c>
      <c r="B16" s="18">
        <v>2270</v>
      </c>
      <c r="C16" s="18">
        <v>2177</v>
      </c>
      <c r="D16" s="18">
        <v>3123</v>
      </c>
      <c r="E16" s="18">
        <v>3325</v>
      </c>
      <c r="F16" s="17" t="s">
        <v>6</v>
      </c>
      <c r="G16" s="12"/>
      <c r="H16" s="12"/>
      <c r="I16" s="14"/>
      <c r="J16" s="14"/>
      <c r="K16" s="14"/>
      <c r="L16" s="14"/>
      <c r="M16" s="14"/>
      <c r="N16" s="2"/>
      <c r="O16" s="2"/>
      <c r="P16" s="2"/>
      <c r="Q16" s="2"/>
    </row>
    <row r="17" spans="1:17" ht="19">
      <c r="A17" s="17" t="s">
        <v>18</v>
      </c>
      <c r="B17" s="18">
        <v>3525</v>
      </c>
      <c r="C17" s="18">
        <v>6770</v>
      </c>
      <c r="D17" s="18">
        <v>5186</v>
      </c>
      <c r="E17" s="18">
        <v>126048</v>
      </c>
      <c r="F17" s="18">
        <v>14893</v>
      </c>
      <c r="G17" s="12"/>
      <c r="H17" s="16" t="s">
        <v>18</v>
      </c>
      <c r="I17" s="14">
        <v>4101</v>
      </c>
      <c r="J17" s="14">
        <v>3061</v>
      </c>
      <c r="K17" s="14">
        <v>3730</v>
      </c>
      <c r="L17" s="14">
        <v>2641</v>
      </c>
      <c r="M17" s="14">
        <v>2310</v>
      </c>
      <c r="N17" s="2"/>
      <c r="O17" s="2"/>
      <c r="P17" s="2"/>
      <c r="Q17" s="2"/>
    </row>
    <row r="18" spans="1:17" ht="19">
      <c r="A18" s="17" t="s">
        <v>19</v>
      </c>
      <c r="B18" s="17" t="s">
        <v>6</v>
      </c>
      <c r="C18" s="17" t="s">
        <v>6</v>
      </c>
      <c r="D18" s="17" t="s">
        <v>6</v>
      </c>
      <c r="E18" s="17" t="s">
        <v>6</v>
      </c>
      <c r="F18" s="18">
        <v>1822</v>
      </c>
      <c r="G18" s="12"/>
      <c r="H18" s="16" t="s">
        <v>19</v>
      </c>
      <c r="I18" s="13">
        <v>811</v>
      </c>
      <c r="J18" s="13">
        <v>550</v>
      </c>
      <c r="K18" s="13">
        <v>167</v>
      </c>
      <c r="L18" s="14">
        <v>1093</v>
      </c>
      <c r="M18" s="14">
        <v>1200</v>
      </c>
      <c r="N18" s="2"/>
      <c r="O18" s="2"/>
      <c r="P18" s="2"/>
      <c r="Q18" s="2"/>
    </row>
    <row r="19" spans="1:17" ht="19">
      <c r="A19" s="17" t="s">
        <v>20</v>
      </c>
      <c r="B19" s="18">
        <v>3525</v>
      </c>
      <c r="C19" s="18">
        <v>6770</v>
      </c>
      <c r="D19" s="18">
        <v>5186</v>
      </c>
      <c r="E19" s="18">
        <v>126048</v>
      </c>
      <c r="F19" s="18">
        <v>13071</v>
      </c>
      <c r="G19" s="12"/>
      <c r="H19" s="16" t="s">
        <v>21</v>
      </c>
      <c r="I19" s="14">
        <v>3290</v>
      </c>
      <c r="J19" s="14">
        <v>2511</v>
      </c>
      <c r="K19" s="14">
        <v>3563</v>
      </c>
      <c r="L19" s="14">
        <v>1548</v>
      </c>
      <c r="M19" s="14">
        <v>1110</v>
      </c>
      <c r="N19" s="2"/>
      <c r="O19" s="2"/>
      <c r="P19" s="2"/>
      <c r="Q19" s="2"/>
    </row>
    <row r="20" spans="1:17" ht="19">
      <c r="A20" s="17" t="s">
        <v>22</v>
      </c>
      <c r="B20" s="18">
        <v>25828</v>
      </c>
      <c r="C20" s="18">
        <v>30885</v>
      </c>
      <c r="D20" s="18">
        <v>27734</v>
      </c>
      <c r="E20" s="18">
        <v>165617</v>
      </c>
      <c r="F20" s="18">
        <v>52008</v>
      </c>
      <c r="G20" s="12"/>
      <c r="H20" s="16" t="s">
        <v>22</v>
      </c>
      <c r="I20" s="14">
        <v>37591</v>
      </c>
      <c r="J20" s="14">
        <v>34058</v>
      </c>
      <c r="K20" s="14">
        <v>35228</v>
      </c>
      <c r="L20" s="14">
        <v>34296</v>
      </c>
      <c r="M20" s="14">
        <v>52122</v>
      </c>
      <c r="N20" s="2"/>
      <c r="O20" s="2"/>
      <c r="P20" s="2"/>
      <c r="Q20" s="2"/>
    </row>
    <row r="21" spans="1:17" ht="19">
      <c r="A21" s="17" t="s">
        <v>23</v>
      </c>
      <c r="B21" s="18">
        <v>149780</v>
      </c>
      <c r="C21" s="18">
        <v>149394</v>
      </c>
      <c r="D21" s="18">
        <v>149259</v>
      </c>
      <c r="E21" s="18">
        <v>143473</v>
      </c>
      <c r="F21" s="18">
        <v>152029</v>
      </c>
      <c r="G21" s="12"/>
      <c r="H21" s="16" t="s">
        <v>23</v>
      </c>
      <c r="I21" s="14">
        <v>132994</v>
      </c>
      <c r="J21" s="14">
        <v>133036</v>
      </c>
      <c r="K21" s="14">
        <v>133564</v>
      </c>
      <c r="L21" s="14">
        <v>127579</v>
      </c>
      <c r="M21" s="14">
        <v>117364</v>
      </c>
      <c r="N21" s="2"/>
      <c r="O21" s="2"/>
      <c r="P21" s="2"/>
      <c r="Q21" s="2"/>
    </row>
    <row r="22" spans="1:17" ht="19">
      <c r="A22" s="17" t="s">
        <v>24</v>
      </c>
      <c r="B22" s="18">
        <v>371823</v>
      </c>
      <c r="C22" s="18">
        <v>360796</v>
      </c>
      <c r="D22" s="18">
        <v>351444</v>
      </c>
      <c r="E22" s="18">
        <v>346437</v>
      </c>
      <c r="F22" s="18">
        <v>352465</v>
      </c>
      <c r="G22" s="12"/>
      <c r="H22" s="16" t="s">
        <v>24</v>
      </c>
      <c r="I22" s="14">
        <v>355878</v>
      </c>
      <c r="J22" s="14">
        <v>344834</v>
      </c>
      <c r="K22" s="14">
        <v>333819</v>
      </c>
      <c r="L22" s="14">
        <v>317780</v>
      </c>
      <c r="M22" s="14">
        <v>302268</v>
      </c>
      <c r="N22" s="2"/>
      <c r="O22" s="2"/>
      <c r="P22" s="2"/>
      <c r="Q22" s="2"/>
    </row>
    <row r="23" spans="1:17" ht="19">
      <c r="A23" s="17" t="s">
        <v>25</v>
      </c>
      <c r="B23" s="18">
        <v>39947</v>
      </c>
      <c r="C23" s="18">
        <v>39380</v>
      </c>
      <c r="D23" s="18">
        <v>38751</v>
      </c>
      <c r="E23" s="18">
        <v>38204</v>
      </c>
      <c r="F23" s="18">
        <v>39418</v>
      </c>
      <c r="G23" s="12"/>
      <c r="H23" s="16" t="s">
        <v>25</v>
      </c>
      <c r="I23" s="14">
        <v>39130</v>
      </c>
      <c r="J23" s="14">
        <v>36940</v>
      </c>
      <c r="K23" s="14">
        <v>35382</v>
      </c>
      <c r="L23" s="14">
        <v>33361</v>
      </c>
      <c r="M23" s="14">
        <v>32933</v>
      </c>
      <c r="N23" s="2"/>
      <c r="O23" s="2"/>
      <c r="P23" s="2"/>
      <c r="Q23" s="2"/>
    </row>
    <row r="24" spans="1:17" ht="19">
      <c r="A24" s="17" t="s">
        <v>26</v>
      </c>
      <c r="B24" s="18">
        <v>1372</v>
      </c>
      <c r="C24" s="18">
        <v>1377</v>
      </c>
      <c r="D24" s="18">
        <v>1381</v>
      </c>
      <c r="E24" s="18">
        <v>1401</v>
      </c>
      <c r="F24" s="18">
        <v>2571</v>
      </c>
      <c r="G24" s="12"/>
      <c r="H24" s="16" t="s">
        <v>26</v>
      </c>
      <c r="I24" s="13">
        <v>740</v>
      </c>
      <c r="J24" s="13">
        <v>751</v>
      </c>
      <c r="K24" s="13">
        <v>747</v>
      </c>
      <c r="L24" s="13">
        <v>673</v>
      </c>
      <c r="M24" s="13">
        <v>608</v>
      </c>
      <c r="N24" s="2"/>
      <c r="O24" s="2"/>
      <c r="P24" s="2"/>
      <c r="Q24" s="2"/>
    </row>
    <row r="25" spans="1:17" ht="19">
      <c r="A25" s="17" t="s">
        <v>27</v>
      </c>
      <c r="B25" s="18">
        <v>284480</v>
      </c>
      <c r="C25" s="18">
        <v>275752</v>
      </c>
      <c r="D25" s="18">
        <v>264676</v>
      </c>
      <c r="E25" s="18">
        <v>263063</v>
      </c>
      <c r="F25" s="18">
        <v>263181</v>
      </c>
      <c r="G25" s="12"/>
      <c r="H25" s="16" t="s">
        <v>27</v>
      </c>
      <c r="I25" s="14">
        <v>259490</v>
      </c>
      <c r="J25" s="14">
        <v>248516</v>
      </c>
      <c r="K25" s="14">
        <v>237623</v>
      </c>
      <c r="L25" s="14">
        <v>222973</v>
      </c>
      <c r="M25" s="14">
        <v>217183</v>
      </c>
      <c r="N25" s="2"/>
      <c r="O25" s="2"/>
      <c r="P25" s="2"/>
      <c r="Q25" s="2"/>
    </row>
    <row r="26" spans="1:17" ht="19">
      <c r="A26" s="17" t="s">
        <v>28</v>
      </c>
      <c r="B26" s="18">
        <v>7452</v>
      </c>
      <c r="C26" s="18">
        <v>5640</v>
      </c>
      <c r="D26" s="18">
        <v>7182</v>
      </c>
      <c r="E26" s="18">
        <v>5425</v>
      </c>
      <c r="F26" s="18">
        <v>4099</v>
      </c>
      <c r="G26" s="12"/>
      <c r="H26" s="16" t="s">
        <v>28</v>
      </c>
      <c r="I26" s="14">
        <v>9424</v>
      </c>
      <c r="J26" s="14">
        <v>12092</v>
      </c>
      <c r="K26" s="14">
        <v>12889</v>
      </c>
      <c r="L26" s="14">
        <v>13057</v>
      </c>
      <c r="M26" s="14">
        <v>8576</v>
      </c>
      <c r="N26" s="2"/>
      <c r="O26" s="2"/>
      <c r="P26" s="2"/>
      <c r="Q26" s="2"/>
    </row>
    <row r="27" spans="1:17" ht="19">
      <c r="A27" s="17" t="s">
        <v>29</v>
      </c>
      <c r="B27" s="18">
        <v>17663</v>
      </c>
      <c r="C27" s="18">
        <v>17742</v>
      </c>
      <c r="D27" s="18">
        <v>17640</v>
      </c>
      <c r="E27" s="18">
        <v>16520</v>
      </c>
      <c r="F27" s="18">
        <v>18482</v>
      </c>
      <c r="G27" s="12"/>
      <c r="H27" s="16" t="s">
        <v>30</v>
      </c>
      <c r="I27" s="14">
        <v>22622</v>
      </c>
      <c r="J27" s="14">
        <v>21809</v>
      </c>
      <c r="K27" s="14">
        <v>21048</v>
      </c>
      <c r="L27" s="14">
        <v>19833</v>
      </c>
      <c r="M27" s="14">
        <v>20437</v>
      </c>
      <c r="N27" s="2"/>
      <c r="O27" s="2"/>
      <c r="P27" s="2"/>
      <c r="Q27" s="2"/>
    </row>
    <row r="28" spans="1:17" ht="19">
      <c r="A28" s="17" t="s">
        <v>31</v>
      </c>
      <c r="B28" s="18">
        <v>222043</v>
      </c>
      <c r="C28" s="18">
        <v>211402</v>
      </c>
      <c r="D28" s="18">
        <v>202185</v>
      </c>
      <c r="E28" s="18">
        <v>202964</v>
      </c>
      <c r="F28" s="18">
        <v>200436</v>
      </c>
      <c r="G28" s="12"/>
      <c r="H28" s="16" t="s">
        <v>31</v>
      </c>
      <c r="I28" s="14">
        <v>222884</v>
      </c>
      <c r="J28" s="14">
        <v>211798</v>
      </c>
      <c r="K28" s="14">
        <v>200255</v>
      </c>
      <c r="L28" s="14">
        <v>190201</v>
      </c>
      <c r="M28" s="14">
        <v>184904</v>
      </c>
      <c r="N28" s="2"/>
      <c r="O28" s="2"/>
      <c r="P28" s="2"/>
      <c r="Q28" s="2"/>
    </row>
    <row r="29" spans="1:17" ht="19">
      <c r="A29" s="17" t="s">
        <v>32</v>
      </c>
      <c r="B29" s="18">
        <v>1025</v>
      </c>
      <c r="C29" s="18">
        <v>2508</v>
      </c>
      <c r="D29" s="18">
        <v>4718</v>
      </c>
      <c r="E29" s="18">
        <v>6312</v>
      </c>
      <c r="F29" s="18">
        <v>5078</v>
      </c>
      <c r="G29" s="12"/>
      <c r="H29" s="16" t="s">
        <v>32</v>
      </c>
      <c r="I29" s="14">
        <v>1733</v>
      </c>
      <c r="J29" s="14">
        <v>2153</v>
      </c>
      <c r="K29" s="14">
        <v>1846</v>
      </c>
      <c r="L29" s="14">
        <v>2463</v>
      </c>
      <c r="M29" s="14">
        <v>3413</v>
      </c>
      <c r="N29" s="2"/>
      <c r="O29" s="2"/>
      <c r="P29" s="2"/>
      <c r="Q29" s="2"/>
    </row>
    <row r="30" spans="1:17" ht="19">
      <c r="A30" s="17" t="s">
        <v>33</v>
      </c>
      <c r="B30" s="17">
        <v>295</v>
      </c>
      <c r="C30" s="18">
        <v>1251</v>
      </c>
      <c r="D30" s="18">
        <v>3533</v>
      </c>
      <c r="E30" s="18">
        <v>6168</v>
      </c>
      <c r="F30" s="18">
        <v>1780</v>
      </c>
      <c r="G30" s="12"/>
      <c r="H30" s="16" t="s">
        <v>33</v>
      </c>
      <c r="I30" s="13">
        <v>842</v>
      </c>
      <c r="J30" s="13">
        <v>953</v>
      </c>
      <c r="K30" s="14">
        <v>1071</v>
      </c>
      <c r="L30" s="14">
        <v>1061</v>
      </c>
      <c r="M30" s="13">
        <v>589</v>
      </c>
      <c r="N30" s="2"/>
      <c r="O30" s="2"/>
      <c r="P30" s="2"/>
      <c r="Q30" s="2"/>
    </row>
    <row r="31" spans="1:17" ht="19">
      <c r="A31" s="17" t="s">
        <v>34</v>
      </c>
      <c r="B31" s="17">
        <v>730</v>
      </c>
      <c r="C31" s="18">
        <v>1257</v>
      </c>
      <c r="D31" s="18">
        <v>1185</v>
      </c>
      <c r="E31" s="17">
        <v>144</v>
      </c>
      <c r="F31" s="18">
        <v>3298</v>
      </c>
      <c r="G31" s="12"/>
      <c r="H31" s="16" t="s">
        <v>34</v>
      </c>
      <c r="I31" s="13">
        <v>891</v>
      </c>
      <c r="J31" s="14">
        <v>1200</v>
      </c>
      <c r="K31" s="13">
        <v>775</v>
      </c>
      <c r="L31" s="14">
        <v>1402</v>
      </c>
      <c r="M31" s="14">
        <v>2824</v>
      </c>
      <c r="N31" s="2"/>
      <c r="O31" s="2"/>
      <c r="P31" s="2"/>
      <c r="Q31" s="2"/>
    </row>
    <row r="32" spans="1:17" ht="19">
      <c r="A32" s="17" t="s">
        <v>35</v>
      </c>
      <c r="B32" s="18">
        <v>1279</v>
      </c>
      <c r="C32" s="17">
        <v>974</v>
      </c>
      <c r="D32" s="18">
        <v>1040</v>
      </c>
      <c r="E32" s="18">
        <v>1054</v>
      </c>
      <c r="F32" s="17">
        <v>515</v>
      </c>
      <c r="G32" s="12"/>
      <c r="H32" s="16" t="s">
        <v>35</v>
      </c>
      <c r="I32" s="14">
        <v>11968</v>
      </c>
      <c r="J32" s="14">
        <v>11950</v>
      </c>
      <c r="K32" s="14">
        <v>12106</v>
      </c>
      <c r="L32" s="14">
        <v>7598</v>
      </c>
      <c r="M32" s="13">
        <v>204</v>
      </c>
      <c r="N32" s="2"/>
      <c r="O32" s="2"/>
      <c r="P32" s="2"/>
      <c r="Q32" s="2"/>
    </row>
    <row r="33" spans="1:18" ht="19">
      <c r="A33" s="17" t="s">
        <v>36</v>
      </c>
      <c r="B33" s="18">
        <v>195722</v>
      </c>
      <c r="C33" s="18">
        <v>200356</v>
      </c>
      <c r="D33" s="18">
        <v>197341</v>
      </c>
      <c r="E33" s="18">
        <v>211961</v>
      </c>
      <c r="F33" s="18">
        <v>263082</v>
      </c>
      <c r="G33" s="12"/>
      <c r="H33" s="16" t="s">
        <v>36</v>
      </c>
      <c r="I33" s="14">
        <v>190583</v>
      </c>
      <c r="J33" s="14">
        <v>189567</v>
      </c>
      <c r="K33" s="14">
        <v>189928</v>
      </c>
      <c r="L33" s="14">
        <v>187899</v>
      </c>
      <c r="M33" s="14">
        <v>130283</v>
      </c>
      <c r="N33" s="2"/>
      <c r="O33" s="2"/>
      <c r="P33" s="2"/>
      <c r="Q33" s="2"/>
    </row>
    <row r="34" spans="1:18" ht="19">
      <c r="A34" s="17" t="s">
        <v>37</v>
      </c>
      <c r="B34" s="18">
        <v>63432</v>
      </c>
      <c r="C34" s="18">
        <v>67854</v>
      </c>
      <c r="D34" s="18">
        <v>67895</v>
      </c>
      <c r="E34" s="18">
        <v>92740</v>
      </c>
      <c r="F34" s="18">
        <v>135259</v>
      </c>
      <c r="G34" s="12"/>
      <c r="H34" s="16" t="s">
        <v>37</v>
      </c>
      <c r="I34" s="14">
        <v>22841</v>
      </c>
      <c r="J34" s="14">
        <v>22843</v>
      </c>
      <c r="K34" s="14">
        <v>28671</v>
      </c>
      <c r="L34" s="14">
        <v>28603</v>
      </c>
      <c r="M34" s="14">
        <v>24773</v>
      </c>
      <c r="N34" s="2"/>
      <c r="O34" s="2"/>
      <c r="P34" s="2"/>
      <c r="Q34" s="2"/>
    </row>
    <row r="35" spans="1:18" ht="19">
      <c r="A35" s="17" t="s">
        <v>38</v>
      </c>
      <c r="B35" s="18">
        <v>132290</v>
      </c>
      <c r="C35" s="18">
        <v>132502</v>
      </c>
      <c r="D35" s="18">
        <v>129446</v>
      </c>
      <c r="E35" s="18">
        <v>119221</v>
      </c>
      <c r="F35" s="18">
        <v>127823</v>
      </c>
      <c r="G35" s="12"/>
      <c r="H35" s="16" t="s">
        <v>38</v>
      </c>
      <c r="I35" s="14">
        <v>167742</v>
      </c>
      <c r="J35" s="14">
        <v>166724</v>
      </c>
      <c r="K35" s="14">
        <v>161257</v>
      </c>
      <c r="L35" s="14">
        <v>159296</v>
      </c>
      <c r="M35" s="14">
        <v>105510</v>
      </c>
      <c r="N35" s="2"/>
      <c r="O35" s="2"/>
      <c r="P35" s="2"/>
      <c r="Q35" s="2"/>
    </row>
    <row r="36" spans="1:18" ht="19">
      <c r="A36" s="17" t="s">
        <v>39</v>
      </c>
      <c r="B36" s="18">
        <v>21161</v>
      </c>
      <c r="C36" s="18">
        <v>22943</v>
      </c>
      <c r="D36" s="18">
        <v>22761</v>
      </c>
      <c r="E36" s="18">
        <v>23205</v>
      </c>
      <c r="F36" s="18">
        <v>53049</v>
      </c>
      <c r="G36" s="12"/>
      <c r="H36" s="16" t="s">
        <v>39</v>
      </c>
      <c r="I36" s="14">
        <v>9842</v>
      </c>
      <c r="J36" s="14">
        <v>9491</v>
      </c>
      <c r="K36" s="14">
        <v>7008</v>
      </c>
      <c r="L36" s="14">
        <v>6761</v>
      </c>
      <c r="M36" s="14">
        <v>13095</v>
      </c>
      <c r="N36" s="2"/>
      <c r="O36" s="2"/>
      <c r="P36" s="2"/>
      <c r="Q36" s="2"/>
    </row>
    <row r="37" spans="1:18" ht="19">
      <c r="A37" s="17" t="s">
        <v>40</v>
      </c>
      <c r="B37" s="18">
        <v>11618</v>
      </c>
      <c r="C37" s="18">
        <v>11990</v>
      </c>
      <c r="D37" s="18">
        <v>13493</v>
      </c>
      <c r="E37" s="18">
        <v>12546</v>
      </c>
      <c r="F37" s="18">
        <v>18493</v>
      </c>
      <c r="G37" s="12"/>
      <c r="H37" s="16" t="s">
        <v>40</v>
      </c>
      <c r="I37" s="14">
        <v>5740</v>
      </c>
      <c r="J37" s="14">
        <v>5395</v>
      </c>
      <c r="K37" s="14">
        <v>5104</v>
      </c>
      <c r="L37" s="14">
        <v>4691</v>
      </c>
      <c r="M37" s="14">
        <v>4542</v>
      </c>
      <c r="N37" s="2"/>
      <c r="O37" s="2"/>
      <c r="P37" s="2"/>
      <c r="Q37" s="2"/>
    </row>
    <row r="38" spans="1:18" ht="19">
      <c r="A38" s="17" t="s">
        <v>41</v>
      </c>
      <c r="B38" s="18">
        <v>9543</v>
      </c>
      <c r="C38" s="18">
        <v>10953</v>
      </c>
      <c r="D38" s="18">
        <v>9268</v>
      </c>
      <c r="E38" s="18">
        <v>10659</v>
      </c>
      <c r="F38" s="18">
        <v>34556</v>
      </c>
      <c r="G38" s="12"/>
      <c r="H38" s="16" t="s">
        <v>41</v>
      </c>
      <c r="I38" s="14">
        <v>4102</v>
      </c>
      <c r="J38" s="14">
        <v>4096</v>
      </c>
      <c r="K38" s="14">
        <v>1904</v>
      </c>
      <c r="L38" s="14">
        <v>2070</v>
      </c>
      <c r="M38" s="14">
        <v>8553</v>
      </c>
      <c r="N38" s="2"/>
      <c r="O38" s="2"/>
      <c r="P38" s="2"/>
      <c r="Q38" s="2"/>
    </row>
    <row r="39" spans="1:18" ht="19">
      <c r="A39" s="20" t="s">
        <v>42</v>
      </c>
      <c r="B39" s="22">
        <v>394795</v>
      </c>
      <c r="C39" s="22">
        <v>407060</v>
      </c>
      <c r="D39" s="22">
        <v>402853</v>
      </c>
      <c r="E39" s="22">
        <v>551622</v>
      </c>
      <c r="F39" s="22">
        <v>525761</v>
      </c>
      <c r="G39" s="12"/>
      <c r="H39" s="16" t="s">
        <v>42</v>
      </c>
      <c r="I39" s="14">
        <v>384711</v>
      </c>
      <c r="J39" s="14">
        <v>380255</v>
      </c>
      <c r="K39" s="14">
        <v>379680</v>
      </c>
      <c r="L39" s="14">
        <v>366596</v>
      </c>
      <c r="M39" s="14">
        <v>316481</v>
      </c>
      <c r="N39" s="2"/>
      <c r="O39" s="2"/>
      <c r="P39" s="2"/>
      <c r="Q39" s="2"/>
    </row>
    <row r="40" spans="1:18" ht="19">
      <c r="A40" s="17" t="s">
        <v>43</v>
      </c>
      <c r="B40" s="19">
        <v>-3.0099999999999998E-2</v>
      </c>
      <c r="C40" s="19">
        <v>1.04E-2</v>
      </c>
      <c r="D40" s="19">
        <v>-0.2697</v>
      </c>
      <c r="E40" s="19">
        <v>4.9200000000000001E-2</v>
      </c>
      <c r="F40" s="17" t="s">
        <v>6</v>
      </c>
      <c r="G40" s="12"/>
      <c r="H40" s="16" t="s">
        <v>44</v>
      </c>
      <c r="I40" s="15">
        <v>1.17E-2</v>
      </c>
      <c r="J40" s="15">
        <v>1.5E-3</v>
      </c>
      <c r="K40" s="15">
        <v>3.5700000000000003E-2</v>
      </c>
      <c r="L40" s="15">
        <v>0.15840000000000001</v>
      </c>
      <c r="M40" s="13" t="s">
        <v>6</v>
      </c>
      <c r="N40" s="2"/>
      <c r="O40" s="2"/>
      <c r="P40" s="2"/>
      <c r="Q40" s="2"/>
    </row>
    <row r="41" spans="1:18" ht="19">
      <c r="A41" s="12"/>
      <c r="B41" s="12"/>
      <c r="C41" s="12"/>
      <c r="D41" s="12"/>
      <c r="E41" s="12"/>
      <c r="F41" s="12"/>
      <c r="G41" s="12"/>
      <c r="H41" s="16"/>
      <c r="I41" s="13"/>
      <c r="J41" s="13"/>
      <c r="K41" s="13"/>
      <c r="L41" s="13"/>
      <c r="M41" s="13"/>
      <c r="N41" s="2"/>
      <c r="O41" s="2"/>
      <c r="P41" s="2"/>
      <c r="Q41" s="2"/>
    </row>
    <row r="42" spans="1:18" ht="19">
      <c r="A42" s="12"/>
      <c r="B42" s="21"/>
      <c r="C42" s="12"/>
      <c r="D42" s="12"/>
      <c r="E42" s="12"/>
      <c r="F42" s="12"/>
      <c r="G42" s="12"/>
      <c r="H42" s="16"/>
      <c r="I42" s="15"/>
      <c r="J42" s="13"/>
      <c r="K42" s="13"/>
      <c r="L42" s="13"/>
      <c r="M42" s="13"/>
      <c r="N42" s="2"/>
      <c r="O42" s="2"/>
      <c r="P42" s="2"/>
      <c r="Q42" s="2"/>
    </row>
    <row r="43" spans="1:18">
      <c r="A43" s="23"/>
      <c r="B43" s="23"/>
      <c r="C43" s="23"/>
      <c r="D43" s="23"/>
      <c r="E43" s="23"/>
      <c r="F43" s="23"/>
      <c r="G43" s="12"/>
      <c r="H43" s="12"/>
      <c r="I43" s="12"/>
      <c r="J43" s="12"/>
      <c r="K43" s="12"/>
      <c r="L43" s="12"/>
      <c r="M43" s="12"/>
    </row>
    <row r="44" spans="1:18">
      <c r="A44" s="17" t="s">
        <v>45</v>
      </c>
      <c r="B44" s="17"/>
      <c r="C44" s="17"/>
      <c r="D44" s="17"/>
      <c r="E44" s="17"/>
      <c r="F44" s="17"/>
      <c r="G44" s="12"/>
      <c r="H44" s="12" t="s">
        <v>46</v>
      </c>
      <c r="I44" s="12"/>
      <c r="J44" s="12"/>
      <c r="K44" s="12"/>
      <c r="L44" s="12"/>
      <c r="M44" s="12"/>
    </row>
    <row r="45" spans="1:18">
      <c r="A45" s="17" t="s">
        <v>47</v>
      </c>
      <c r="B45" s="17">
        <v>2024</v>
      </c>
      <c r="C45" s="17">
        <v>2023</v>
      </c>
      <c r="D45" s="17">
        <v>2022</v>
      </c>
      <c r="E45" s="17">
        <v>2021</v>
      </c>
      <c r="F45" s="17">
        <v>2020</v>
      </c>
      <c r="G45" s="13"/>
      <c r="H45" s="13" t="s">
        <v>47</v>
      </c>
      <c r="I45" s="13">
        <v>2024</v>
      </c>
      <c r="J45" s="13">
        <v>2023</v>
      </c>
      <c r="K45" s="13">
        <v>2022</v>
      </c>
      <c r="L45" s="13">
        <v>2021</v>
      </c>
      <c r="M45" s="13">
        <v>2020</v>
      </c>
    </row>
    <row r="46" spans="1:18" ht="19">
      <c r="A46" s="17" t="s">
        <v>48</v>
      </c>
      <c r="B46" s="18">
        <v>8622</v>
      </c>
      <c r="C46" s="18">
        <v>13001</v>
      </c>
      <c r="D46" s="18">
        <v>11144</v>
      </c>
      <c r="E46" s="18">
        <v>29258</v>
      </c>
      <c r="F46" s="18">
        <v>7007</v>
      </c>
      <c r="G46" s="13"/>
      <c r="H46" s="13" t="s">
        <v>48</v>
      </c>
      <c r="I46" s="14">
        <v>27048</v>
      </c>
      <c r="J46" s="14">
        <v>17239</v>
      </c>
      <c r="K46" s="14">
        <v>14097</v>
      </c>
      <c r="L46" s="14">
        <v>11302</v>
      </c>
      <c r="M46" s="14">
        <v>9374</v>
      </c>
      <c r="N46" s="2"/>
      <c r="O46" s="2"/>
      <c r="P46" s="2"/>
      <c r="Q46" s="2"/>
      <c r="R46" s="2"/>
    </row>
    <row r="47" spans="1:18" ht="19">
      <c r="A47" s="17" t="s">
        <v>49</v>
      </c>
      <c r="B47" s="18">
        <v>3533</v>
      </c>
      <c r="C47" s="18">
        <v>5615</v>
      </c>
      <c r="D47" s="18">
        <v>7960</v>
      </c>
      <c r="E47" s="18">
        <v>13372</v>
      </c>
      <c r="F47" s="18">
        <v>3537</v>
      </c>
      <c r="G47" s="13"/>
      <c r="H47" s="13" t="s">
        <v>49</v>
      </c>
      <c r="I47" s="14">
        <v>4415</v>
      </c>
      <c r="J47" s="14">
        <v>4266</v>
      </c>
      <c r="K47" s="14">
        <v>4134</v>
      </c>
      <c r="L47" s="14">
        <v>3859</v>
      </c>
      <c r="M47" s="14">
        <v>3805</v>
      </c>
      <c r="N47" s="2"/>
      <c r="O47" s="2"/>
      <c r="P47" s="2"/>
      <c r="Q47" s="2"/>
      <c r="R47" s="2"/>
    </row>
    <row r="48" spans="1:18" ht="19">
      <c r="A48" s="17" t="s">
        <v>50</v>
      </c>
      <c r="B48" s="18">
        <v>5089</v>
      </c>
      <c r="C48" s="18">
        <v>7386</v>
      </c>
      <c r="D48" s="18">
        <v>3184</v>
      </c>
      <c r="E48" s="18">
        <v>15886</v>
      </c>
      <c r="F48" s="18">
        <v>3470</v>
      </c>
      <c r="G48" s="13"/>
      <c r="H48" s="13" t="s">
        <v>50</v>
      </c>
      <c r="I48" s="14">
        <v>22633</v>
      </c>
      <c r="J48" s="14">
        <v>12973</v>
      </c>
      <c r="K48" s="14">
        <v>9963</v>
      </c>
      <c r="L48" s="14">
        <v>7443</v>
      </c>
      <c r="M48" s="14">
        <v>5569</v>
      </c>
      <c r="N48" s="2"/>
      <c r="O48" s="2"/>
      <c r="P48" s="2"/>
      <c r="Q48" s="2"/>
      <c r="R48" s="2"/>
    </row>
    <row r="49" spans="1:18" ht="19">
      <c r="A49" s="17" t="s">
        <v>51</v>
      </c>
      <c r="B49" s="18">
        <v>23900</v>
      </c>
      <c r="C49" s="18">
        <v>23785</v>
      </c>
      <c r="D49" s="18">
        <v>27554</v>
      </c>
      <c r="E49" s="18">
        <v>26118</v>
      </c>
      <c r="F49" s="18">
        <v>28299</v>
      </c>
      <c r="G49" s="13"/>
      <c r="H49" s="13" t="s">
        <v>51</v>
      </c>
      <c r="I49" s="14">
        <v>10425</v>
      </c>
      <c r="J49" s="14">
        <v>10021</v>
      </c>
      <c r="K49" s="14">
        <v>8750</v>
      </c>
      <c r="L49" s="14">
        <v>8040</v>
      </c>
      <c r="M49" s="14">
        <v>6667</v>
      </c>
      <c r="N49" s="2"/>
      <c r="O49" s="2"/>
      <c r="P49" s="2"/>
      <c r="Q49" s="2"/>
      <c r="R49" s="2"/>
    </row>
    <row r="50" spans="1:18" ht="19">
      <c r="A50" s="17" t="s">
        <v>52</v>
      </c>
      <c r="B50" s="19">
        <v>4.7999999999999996E-3</v>
      </c>
      <c r="C50" s="19">
        <v>-0.1368</v>
      </c>
      <c r="D50" s="19">
        <v>5.5E-2</v>
      </c>
      <c r="E50" s="19">
        <v>-7.7100000000000002E-2</v>
      </c>
      <c r="F50" s="17" t="s">
        <v>6</v>
      </c>
      <c r="G50" s="13"/>
      <c r="H50" s="13" t="s">
        <v>52</v>
      </c>
      <c r="I50" s="15">
        <v>4.0300000000000002E-2</v>
      </c>
      <c r="J50" s="15">
        <v>0.14530000000000001</v>
      </c>
      <c r="K50" s="15">
        <v>8.8300000000000003E-2</v>
      </c>
      <c r="L50" s="15">
        <v>0.2059</v>
      </c>
      <c r="M50" s="13" t="s">
        <v>6</v>
      </c>
      <c r="N50" s="2"/>
      <c r="O50" s="2"/>
      <c r="P50" s="2"/>
      <c r="Q50" s="2"/>
      <c r="R50" s="2"/>
    </row>
    <row r="51" spans="1:18" ht="19">
      <c r="A51" s="17" t="s">
        <v>53</v>
      </c>
      <c r="B51" s="18">
        <v>1301</v>
      </c>
      <c r="C51" s="18">
        <v>1022</v>
      </c>
      <c r="D51" s="17">
        <v>798</v>
      </c>
      <c r="E51" s="18">
        <v>1148</v>
      </c>
      <c r="F51" s="18">
        <v>1019</v>
      </c>
      <c r="G51" s="13"/>
      <c r="H51" s="13" t="s">
        <v>53</v>
      </c>
      <c r="I51" s="14">
        <v>1902</v>
      </c>
      <c r="J51" s="14">
        <v>2612</v>
      </c>
      <c r="K51" s="14">
        <v>1876</v>
      </c>
      <c r="L51" s="14">
        <v>1624</v>
      </c>
      <c r="M51" s="14">
        <v>1432</v>
      </c>
      <c r="N51" s="2"/>
      <c r="O51" s="2"/>
      <c r="P51" s="2"/>
      <c r="Q51" s="2"/>
      <c r="R51" s="2"/>
    </row>
    <row r="52" spans="1:18" ht="19">
      <c r="A52" s="17" t="s">
        <v>54</v>
      </c>
      <c r="B52" s="18">
        <v>13049</v>
      </c>
      <c r="C52" s="18">
        <v>13319</v>
      </c>
      <c r="D52" s="18">
        <v>16677</v>
      </c>
      <c r="E52" s="18">
        <v>49706</v>
      </c>
      <c r="F52" s="18">
        <v>27113</v>
      </c>
      <c r="G52" s="13"/>
      <c r="H52" s="13" t="s">
        <v>54</v>
      </c>
      <c r="I52" s="14">
        <v>25396</v>
      </c>
      <c r="J52" s="14">
        <v>23351</v>
      </c>
      <c r="K52" s="14">
        <v>25448</v>
      </c>
      <c r="L52" s="14">
        <v>26194</v>
      </c>
      <c r="M52" s="14">
        <v>22187</v>
      </c>
      <c r="N52" s="2"/>
      <c r="O52" s="2"/>
      <c r="P52" s="2"/>
      <c r="Q52" s="2"/>
      <c r="R52" s="2"/>
    </row>
    <row r="53" spans="1:18" ht="19">
      <c r="A53" s="17" t="s">
        <v>55</v>
      </c>
      <c r="B53" s="18">
        <v>2027</v>
      </c>
      <c r="C53" s="18">
        <v>2020</v>
      </c>
      <c r="D53" s="18">
        <v>2014</v>
      </c>
      <c r="E53" s="18">
        <v>3749</v>
      </c>
      <c r="F53" s="18">
        <v>3741</v>
      </c>
      <c r="G53" s="13"/>
      <c r="H53" s="13" t="s">
        <v>55</v>
      </c>
      <c r="I53" s="14">
        <v>2878</v>
      </c>
      <c r="J53" s="14">
        <v>2821</v>
      </c>
      <c r="K53" s="14">
        <v>2764</v>
      </c>
      <c r="L53" s="14">
        <v>2709</v>
      </c>
      <c r="M53" s="14">
        <v>2618</v>
      </c>
      <c r="N53" s="2"/>
      <c r="O53" s="2"/>
      <c r="P53" s="2"/>
      <c r="Q53" s="2"/>
      <c r="R53" s="2"/>
    </row>
    <row r="54" spans="1:18" ht="19">
      <c r="A54" s="17" t="s">
        <v>56</v>
      </c>
      <c r="B54" s="18">
        <v>2585</v>
      </c>
      <c r="C54" s="18">
        <v>2329</v>
      </c>
      <c r="D54" s="18">
        <v>2778</v>
      </c>
      <c r="E54" s="18">
        <v>3316</v>
      </c>
      <c r="F54" s="18">
        <v>4403</v>
      </c>
      <c r="G54" s="13"/>
      <c r="H54" s="13" t="s">
        <v>56</v>
      </c>
      <c r="I54" s="14">
        <v>4436</v>
      </c>
      <c r="J54" s="14">
        <v>4060</v>
      </c>
      <c r="K54" s="14">
        <v>3950</v>
      </c>
      <c r="L54" s="14">
        <v>4485</v>
      </c>
      <c r="M54" s="14">
        <v>5057</v>
      </c>
      <c r="N54" s="2"/>
      <c r="O54" s="2"/>
      <c r="P54" s="2"/>
      <c r="Q54" s="2"/>
      <c r="R54" s="2"/>
    </row>
    <row r="55" spans="1:18" ht="19">
      <c r="A55" s="17" t="s">
        <v>57</v>
      </c>
      <c r="B55" s="18">
        <v>8437</v>
      </c>
      <c r="C55" s="18">
        <v>8970</v>
      </c>
      <c r="D55" s="18">
        <v>11885</v>
      </c>
      <c r="E55" s="18">
        <v>42641</v>
      </c>
      <c r="F55" s="18">
        <v>18969</v>
      </c>
      <c r="G55" s="13"/>
      <c r="H55" s="13" t="s">
        <v>57</v>
      </c>
      <c r="I55" s="14">
        <v>18082</v>
      </c>
      <c r="J55" s="14">
        <v>16470</v>
      </c>
      <c r="K55" s="14">
        <v>18734</v>
      </c>
      <c r="L55" s="14">
        <v>19000</v>
      </c>
      <c r="M55" s="14">
        <v>14512</v>
      </c>
      <c r="N55" s="2"/>
      <c r="O55" s="2"/>
      <c r="P55" s="2"/>
      <c r="Q55" s="2"/>
      <c r="R55" s="2"/>
    </row>
    <row r="56" spans="1:18" ht="19">
      <c r="A56" s="17" t="s">
        <v>58</v>
      </c>
      <c r="B56" s="18">
        <v>46872</v>
      </c>
      <c r="C56" s="18">
        <v>51127</v>
      </c>
      <c r="D56" s="18">
        <v>56173</v>
      </c>
      <c r="E56" s="18">
        <v>106230</v>
      </c>
      <c r="F56" s="18">
        <v>63438</v>
      </c>
      <c r="G56" s="13"/>
      <c r="H56" s="13" t="s">
        <v>58</v>
      </c>
      <c r="I56" s="14">
        <v>64771</v>
      </c>
      <c r="J56" s="14">
        <v>53223</v>
      </c>
      <c r="K56" s="14">
        <v>50171</v>
      </c>
      <c r="L56" s="14">
        <v>47160</v>
      </c>
      <c r="M56" s="14">
        <v>39660</v>
      </c>
      <c r="N56" s="2"/>
      <c r="O56" s="2"/>
      <c r="P56" s="2"/>
      <c r="Q56" s="2"/>
      <c r="R56" s="2"/>
    </row>
    <row r="57" spans="1:18" ht="19">
      <c r="A57" s="17" t="s">
        <v>59</v>
      </c>
      <c r="B57" s="17">
        <v>0.55000000000000004</v>
      </c>
      <c r="C57" s="17">
        <v>0.6</v>
      </c>
      <c r="D57" s="17">
        <v>0.49</v>
      </c>
      <c r="E57" s="17">
        <v>1.56</v>
      </c>
      <c r="F57" s="17">
        <v>0.82</v>
      </c>
      <c r="G57" s="13"/>
      <c r="H57" s="13" t="s">
        <v>59</v>
      </c>
      <c r="I57" s="13">
        <v>0.57999999999999996</v>
      </c>
      <c r="J57" s="13">
        <v>0.64</v>
      </c>
      <c r="K57" s="13">
        <v>0.7</v>
      </c>
      <c r="L57" s="13">
        <v>0.73</v>
      </c>
      <c r="M57" s="13">
        <v>1.31</v>
      </c>
      <c r="N57" s="2"/>
      <c r="O57" s="2"/>
      <c r="P57" s="2"/>
      <c r="Q57" s="2"/>
      <c r="R57" s="2"/>
    </row>
    <row r="58" spans="1:18" ht="19">
      <c r="A58" s="17" t="s">
        <v>60</v>
      </c>
      <c r="B58" s="17">
        <v>0.5</v>
      </c>
      <c r="C58" s="17">
        <v>0.56000000000000005</v>
      </c>
      <c r="D58" s="17">
        <v>0.44</v>
      </c>
      <c r="E58" s="17">
        <v>1.53</v>
      </c>
      <c r="F58" s="17">
        <v>0.76</v>
      </c>
      <c r="G58" s="13"/>
      <c r="H58" s="13" t="s">
        <v>60</v>
      </c>
      <c r="I58" s="13">
        <v>0.55000000000000004</v>
      </c>
      <c r="J58" s="13">
        <v>0.6</v>
      </c>
      <c r="K58" s="13">
        <v>0.65</v>
      </c>
      <c r="L58" s="13">
        <v>0.66</v>
      </c>
      <c r="M58" s="13">
        <v>1.27</v>
      </c>
      <c r="N58" s="2"/>
      <c r="O58" s="2"/>
      <c r="P58" s="2"/>
      <c r="Q58" s="2"/>
      <c r="R58" s="2"/>
    </row>
    <row r="59" spans="1:18" ht="19">
      <c r="A59" s="17" t="s">
        <v>61</v>
      </c>
      <c r="B59" s="17">
        <v>7.0000000000000007E-2</v>
      </c>
      <c r="C59" s="17">
        <v>0.13</v>
      </c>
      <c r="D59" s="17">
        <v>7.0000000000000007E-2</v>
      </c>
      <c r="E59" s="17">
        <v>0.18</v>
      </c>
      <c r="F59" s="17">
        <v>0.15</v>
      </c>
      <c r="G59" s="13"/>
      <c r="H59" s="13" t="s">
        <v>61</v>
      </c>
      <c r="I59" s="13">
        <v>7.0000000000000007E-2</v>
      </c>
      <c r="J59" s="13">
        <v>0.06</v>
      </c>
      <c r="K59" s="13">
        <v>0.08</v>
      </c>
      <c r="L59" s="13">
        <v>0.09</v>
      </c>
      <c r="M59" s="13">
        <v>0.59</v>
      </c>
      <c r="N59" s="2"/>
      <c r="O59" s="2"/>
      <c r="P59" s="2"/>
      <c r="Q59" s="2"/>
      <c r="R59" s="2"/>
    </row>
    <row r="60" spans="1:18" ht="19">
      <c r="A60" s="17" t="s">
        <v>62</v>
      </c>
      <c r="B60" s="18">
        <v>135834</v>
      </c>
      <c r="C60" s="18">
        <v>145422</v>
      </c>
      <c r="D60" s="18">
        <v>147082</v>
      </c>
      <c r="E60" s="18">
        <v>169967</v>
      </c>
      <c r="F60" s="18">
        <v>175977</v>
      </c>
      <c r="G60" s="13"/>
      <c r="H60" s="13" t="s">
        <v>62</v>
      </c>
      <c r="I60" s="14">
        <v>141309</v>
      </c>
      <c r="J60" s="14">
        <v>157703</v>
      </c>
      <c r="K60" s="14">
        <v>162234</v>
      </c>
      <c r="L60" s="14">
        <v>166628</v>
      </c>
      <c r="M60" s="14">
        <v>141173</v>
      </c>
      <c r="N60" s="2"/>
      <c r="O60" s="2"/>
      <c r="P60" s="2"/>
      <c r="Q60" s="2"/>
      <c r="R60" s="2"/>
    </row>
    <row r="61" spans="1:18" ht="19">
      <c r="A61" s="17" t="s">
        <v>63</v>
      </c>
      <c r="B61" s="18">
        <v>117206</v>
      </c>
      <c r="C61" s="18">
        <v>126199</v>
      </c>
      <c r="D61" s="18">
        <v>126776</v>
      </c>
      <c r="E61" s="18">
        <v>149569</v>
      </c>
      <c r="F61" s="18">
        <v>151928</v>
      </c>
      <c r="G61" s="13"/>
      <c r="H61" s="13" t="s">
        <v>63</v>
      </c>
      <c r="I61" s="14">
        <v>119926</v>
      </c>
      <c r="J61" s="14">
        <v>136363</v>
      </c>
      <c r="K61" s="14">
        <v>139509</v>
      </c>
      <c r="L61" s="14">
        <v>142500</v>
      </c>
      <c r="M61" s="14">
        <v>122257</v>
      </c>
      <c r="N61" s="2"/>
      <c r="O61" s="2"/>
      <c r="P61" s="2"/>
      <c r="Q61" s="2"/>
      <c r="R61" s="2"/>
    </row>
    <row r="62" spans="1:18" ht="19">
      <c r="A62" s="17" t="s">
        <v>64</v>
      </c>
      <c r="B62" s="18">
        <v>117206</v>
      </c>
      <c r="C62" s="18">
        <v>126199</v>
      </c>
      <c r="D62" s="18">
        <v>126776</v>
      </c>
      <c r="E62" s="18">
        <v>149569</v>
      </c>
      <c r="F62" s="18">
        <v>151928</v>
      </c>
      <c r="G62" s="13"/>
      <c r="H62" s="13" t="s">
        <v>64</v>
      </c>
      <c r="I62" s="14">
        <v>119926</v>
      </c>
      <c r="J62" s="14">
        <v>136363</v>
      </c>
      <c r="K62" s="14">
        <v>139509</v>
      </c>
      <c r="L62" s="14">
        <v>142500</v>
      </c>
      <c r="M62" s="14">
        <v>122257</v>
      </c>
      <c r="N62" s="2"/>
      <c r="O62" s="2"/>
      <c r="P62" s="2"/>
      <c r="Q62" s="2"/>
      <c r="R62" s="2"/>
    </row>
    <row r="63" spans="1:18" ht="19">
      <c r="A63" s="17" t="s">
        <v>65</v>
      </c>
      <c r="B63" s="18">
        <v>1237</v>
      </c>
      <c r="C63" s="18">
        <v>1655</v>
      </c>
      <c r="D63" s="18">
        <v>1647</v>
      </c>
      <c r="E63" s="18">
        <v>1442</v>
      </c>
      <c r="F63" s="18">
        <v>1847</v>
      </c>
      <c r="G63" s="13"/>
      <c r="H63" s="13" t="s">
        <v>65</v>
      </c>
      <c r="I63" s="14">
        <v>1455</v>
      </c>
      <c r="J63" s="14">
        <v>1338</v>
      </c>
      <c r="K63" s="14">
        <v>1167</v>
      </c>
      <c r="L63" s="13">
        <v>925</v>
      </c>
      <c r="M63" s="13">
        <v>916</v>
      </c>
      <c r="N63" s="2"/>
      <c r="O63" s="2"/>
      <c r="P63" s="2"/>
      <c r="Q63" s="2"/>
      <c r="R63" s="2"/>
    </row>
    <row r="64" spans="1:18" ht="19">
      <c r="A64" s="17" t="s">
        <v>66</v>
      </c>
      <c r="B64" s="18">
        <v>9025</v>
      </c>
      <c r="C64" s="18">
        <v>8734</v>
      </c>
      <c r="D64" s="18">
        <v>7260</v>
      </c>
      <c r="E64" s="18">
        <v>12560</v>
      </c>
      <c r="F64" s="18">
        <v>18276</v>
      </c>
      <c r="G64" s="13"/>
      <c r="H64" s="13" t="s">
        <v>66</v>
      </c>
      <c r="I64" s="14">
        <v>11997</v>
      </c>
      <c r="J64" s="14">
        <v>13189</v>
      </c>
      <c r="K64" s="14">
        <v>12974</v>
      </c>
      <c r="L64" s="14">
        <v>15410</v>
      </c>
      <c r="M64" s="14">
        <v>18657</v>
      </c>
      <c r="N64" s="2"/>
      <c r="O64" s="2"/>
      <c r="P64" s="2"/>
      <c r="Q64" s="2"/>
      <c r="R64" s="2"/>
    </row>
    <row r="65" spans="1:18" ht="19">
      <c r="A65" s="17" t="s">
        <v>67</v>
      </c>
      <c r="B65" s="18">
        <v>58939</v>
      </c>
      <c r="C65" s="18">
        <v>58666</v>
      </c>
      <c r="D65" s="18">
        <v>57032</v>
      </c>
      <c r="E65" s="18">
        <v>53767</v>
      </c>
      <c r="F65" s="18">
        <v>60472</v>
      </c>
      <c r="G65" s="13"/>
      <c r="H65" s="13" t="s">
        <v>67</v>
      </c>
      <c r="I65" s="14">
        <v>46732</v>
      </c>
      <c r="J65" s="14">
        <v>45781</v>
      </c>
      <c r="K65" s="14">
        <v>43441</v>
      </c>
      <c r="L65" s="14">
        <v>40685</v>
      </c>
      <c r="M65" s="14">
        <v>35711</v>
      </c>
      <c r="N65" s="2"/>
      <c r="O65" s="2"/>
      <c r="P65" s="2"/>
      <c r="Q65" s="2"/>
      <c r="R65" s="2"/>
    </row>
    <row r="66" spans="1:18" ht="19">
      <c r="A66" s="17" t="s">
        <v>68</v>
      </c>
      <c r="B66" s="18">
        <v>58939</v>
      </c>
      <c r="C66" s="18">
        <v>58666</v>
      </c>
      <c r="D66" s="18">
        <v>57032</v>
      </c>
      <c r="E66" s="18">
        <v>53767</v>
      </c>
      <c r="F66" s="18">
        <v>60472</v>
      </c>
      <c r="G66" s="13"/>
      <c r="H66" s="13" t="s">
        <v>68</v>
      </c>
      <c r="I66" s="14">
        <v>46732</v>
      </c>
      <c r="J66" s="14">
        <v>45781</v>
      </c>
      <c r="K66" s="14">
        <v>43441</v>
      </c>
      <c r="L66" s="14">
        <v>40685</v>
      </c>
      <c r="M66" s="14">
        <v>35711</v>
      </c>
      <c r="N66" s="2"/>
      <c r="O66" s="2"/>
      <c r="P66" s="2"/>
      <c r="Q66" s="2"/>
      <c r="R66" s="2"/>
    </row>
    <row r="67" spans="1:18" ht="19">
      <c r="A67" s="17" t="s">
        <v>69</v>
      </c>
      <c r="B67" s="18">
        <v>23900</v>
      </c>
      <c r="C67" s="18">
        <v>23696</v>
      </c>
      <c r="D67" s="18">
        <v>28849</v>
      </c>
      <c r="E67" s="18">
        <v>25243</v>
      </c>
      <c r="F67" s="18">
        <v>28358</v>
      </c>
      <c r="G67" s="13"/>
      <c r="H67" s="13" t="s">
        <v>69</v>
      </c>
      <c r="I67" s="14">
        <v>19327</v>
      </c>
      <c r="J67" s="14">
        <v>16560</v>
      </c>
      <c r="K67" s="14">
        <v>18397</v>
      </c>
      <c r="L67" s="14">
        <v>13513</v>
      </c>
      <c r="M67" s="14">
        <v>12008</v>
      </c>
      <c r="N67" s="2"/>
      <c r="O67" s="2"/>
      <c r="P67" s="2"/>
      <c r="Q67" s="2"/>
      <c r="R67" s="2"/>
    </row>
    <row r="68" spans="1:18" ht="19">
      <c r="A68" s="17" t="s">
        <v>70</v>
      </c>
      <c r="B68" s="18">
        <v>23900</v>
      </c>
      <c r="C68" s="18">
        <v>23696</v>
      </c>
      <c r="D68" s="18">
        <v>28849</v>
      </c>
      <c r="E68" s="18">
        <v>25243</v>
      </c>
      <c r="F68" s="18">
        <v>28358</v>
      </c>
      <c r="G68" s="13"/>
      <c r="H68" s="13" t="s">
        <v>70</v>
      </c>
      <c r="I68" s="14">
        <v>17141</v>
      </c>
      <c r="J68" s="14">
        <v>14613</v>
      </c>
      <c r="K68" s="14">
        <v>16746</v>
      </c>
      <c r="L68" s="14">
        <v>12337</v>
      </c>
      <c r="M68" s="14">
        <v>11253</v>
      </c>
      <c r="N68" s="2"/>
      <c r="O68" s="2"/>
      <c r="P68" s="2"/>
      <c r="Q68" s="2"/>
      <c r="R68" s="2"/>
    </row>
    <row r="69" spans="1:18" ht="19">
      <c r="A69" s="17"/>
      <c r="B69" s="17"/>
      <c r="C69" s="17"/>
      <c r="D69" s="17"/>
      <c r="E69" s="17"/>
      <c r="F69" s="17"/>
      <c r="G69" s="13"/>
      <c r="H69" s="13" t="s">
        <v>71</v>
      </c>
      <c r="I69" s="14">
        <v>2186</v>
      </c>
      <c r="J69" s="14">
        <v>1947</v>
      </c>
      <c r="K69" s="14">
        <v>1651</v>
      </c>
      <c r="L69" s="14">
        <v>1176</v>
      </c>
      <c r="M69" s="13">
        <v>755</v>
      </c>
      <c r="N69" s="2"/>
      <c r="O69" s="2"/>
      <c r="P69" s="2"/>
      <c r="Q69" s="2"/>
      <c r="R69" s="2"/>
    </row>
    <row r="70" spans="1:18" ht="19">
      <c r="A70" s="17" t="s">
        <v>72</v>
      </c>
      <c r="B70" s="18">
        <v>274570</v>
      </c>
      <c r="C70" s="18">
        <v>287645</v>
      </c>
      <c r="D70" s="18">
        <v>296396</v>
      </c>
      <c r="E70" s="18">
        <v>367767</v>
      </c>
      <c r="F70" s="18">
        <v>346521</v>
      </c>
      <c r="G70" s="13"/>
      <c r="H70" s="13" t="s">
        <v>72</v>
      </c>
      <c r="I70" s="14">
        <v>284136</v>
      </c>
      <c r="J70" s="14">
        <v>286456</v>
      </c>
      <c r="K70" s="14">
        <v>287217</v>
      </c>
      <c r="L70" s="14">
        <v>283396</v>
      </c>
      <c r="M70" s="14">
        <v>247209</v>
      </c>
      <c r="N70" s="2"/>
      <c r="O70" s="2"/>
      <c r="P70" s="2"/>
      <c r="Q70" s="2"/>
      <c r="R70" s="2"/>
    </row>
    <row r="71" spans="1:18" ht="19">
      <c r="A71" s="17" t="s">
        <v>73</v>
      </c>
      <c r="B71" s="19">
        <v>0.69550000000000001</v>
      </c>
      <c r="C71" s="19">
        <v>0.70660000000000001</v>
      </c>
      <c r="D71" s="19">
        <v>0.73570000000000002</v>
      </c>
      <c r="E71" s="19">
        <v>0.66669999999999996</v>
      </c>
      <c r="F71" s="19">
        <v>0.65910000000000002</v>
      </c>
      <c r="G71" s="13"/>
      <c r="H71" s="13" t="s">
        <v>73</v>
      </c>
      <c r="I71" s="15">
        <v>0.73860000000000003</v>
      </c>
      <c r="J71" s="15">
        <v>0.75329999999999997</v>
      </c>
      <c r="K71" s="15">
        <v>0.75649999999999995</v>
      </c>
      <c r="L71" s="15">
        <v>0.77300000000000002</v>
      </c>
      <c r="M71" s="15">
        <v>0.78110000000000002</v>
      </c>
      <c r="N71" s="2"/>
      <c r="O71" s="2"/>
      <c r="P71" s="2"/>
      <c r="Q71" s="2"/>
      <c r="R71" s="2"/>
    </row>
    <row r="72" spans="1:18" ht="19">
      <c r="A72" s="17" t="s">
        <v>74</v>
      </c>
      <c r="B72" s="18">
        <v>104372</v>
      </c>
      <c r="C72" s="18">
        <v>103297</v>
      </c>
      <c r="D72" s="18">
        <v>97500</v>
      </c>
      <c r="E72" s="18">
        <v>166332</v>
      </c>
      <c r="F72" s="18">
        <v>161673</v>
      </c>
      <c r="G72" s="13"/>
      <c r="H72" s="13" t="s">
        <v>74</v>
      </c>
      <c r="I72" s="14">
        <v>99237</v>
      </c>
      <c r="J72" s="14">
        <v>92430</v>
      </c>
      <c r="K72" s="14">
        <v>91144</v>
      </c>
      <c r="L72" s="14">
        <v>81790</v>
      </c>
      <c r="M72" s="14">
        <v>67842</v>
      </c>
      <c r="N72" s="2"/>
      <c r="O72" s="2"/>
      <c r="P72" s="2"/>
      <c r="Q72" s="2"/>
      <c r="R72" s="2"/>
    </row>
    <row r="73" spans="1:18" ht="19">
      <c r="A73" s="17" t="s">
        <v>75</v>
      </c>
      <c r="B73" s="18">
        <v>7621</v>
      </c>
      <c r="C73" s="18">
        <v>7621</v>
      </c>
      <c r="D73" s="18">
        <v>7621</v>
      </c>
      <c r="E73" s="18">
        <v>7621</v>
      </c>
      <c r="F73" s="18">
        <v>7621</v>
      </c>
      <c r="G73" s="13"/>
      <c r="H73" s="13" t="s">
        <v>75</v>
      </c>
      <c r="I73" s="13">
        <v>429</v>
      </c>
      <c r="J73" s="13">
        <v>429</v>
      </c>
      <c r="K73" s="13">
        <v>429</v>
      </c>
      <c r="L73" s="13">
        <v>429</v>
      </c>
      <c r="M73" s="13">
        <v>429</v>
      </c>
      <c r="N73" s="2"/>
      <c r="O73" s="2"/>
      <c r="P73" s="2"/>
      <c r="Q73" s="2"/>
      <c r="R73" s="2"/>
    </row>
    <row r="74" spans="1:18" ht="19">
      <c r="A74" s="17" t="s">
        <v>76</v>
      </c>
      <c r="B74" s="18">
        <v>109108</v>
      </c>
      <c r="C74" s="18">
        <v>114519</v>
      </c>
      <c r="D74" s="18">
        <v>123610</v>
      </c>
      <c r="E74" s="18">
        <v>130112</v>
      </c>
      <c r="F74" s="18">
        <v>130175</v>
      </c>
      <c r="G74" s="13"/>
      <c r="H74" s="13" t="s">
        <v>76</v>
      </c>
      <c r="I74" s="14">
        <v>13466</v>
      </c>
      <c r="J74" s="14">
        <v>13631</v>
      </c>
      <c r="K74" s="14">
        <v>13420</v>
      </c>
      <c r="L74" s="14">
        <v>13861</v>
      </c>
      <c r="M74" s="14">
        <v>13404</v>
      </c>
      <c r="N74" s="2"/>
      <c r="O74" s="2"/>
      <c r="P74" s="2"/>
      <c r="Q74" s="2"/>
      <c r="R74" s="2"/>
    </row>
    <row r="75" spans="1:18" ht="19">
      <c r="A75" s="17" t="s">
        <v>77</v>
      </c>
      <c r="B75" s="18">
        <v>1871</v>
      </c>
      <c r="C75" s="18">
        <v>-5015</v>
      </c>
      <c r="D75" s="18">
        <v>-19415</v>
      </c>
      <c r="E75" s="18">
        <v>42350</v>
      </c>
      <c r="F75" s="18">
        <v>37457</v>
      </c>
      <c r="G75" s="13"/>
      <c r="H75" s="13" t="s">
        <v>77</v>
      </c>
      <c r="I75" s="14">
        <v>89110</v>
      </c>
      <c r="J75" s="14">
        <v>82915</v>
      </c>
      <c r="K75" s="14">
        <v>82380</v>
      </c>
      <c r="L75" s="14">
        <v>71993</v>
      </c>
      <c r="M75" s="14">
        <v>60464</v>
      </c>
      <c r="N75" s="2"/>
      <c r="O75" s="2"/>
      <c r="P75" s="2"/>
      <c r="Q75" s="2"/>
      <c r="R75" s="2"/>
    </row>
    <row r="76" spans="1:18" ht="19">
      <c r="A76" s="17"/>
      <c r="B76" s="17"/>
      <c r="C76" s="17"/>
      <c r="D76" s="17"/>
      <c r="E76" s="17"/>
      <c r="F76" s="17"/>
      <c r="G76" s="13"/>
      <c r="H76" s="13" t="s">
        <v>78</v>
      </c>
      <c r="I76" s="13">
        <v>738</v>
      </c>
      <c r="J76" s="13">
        <v>656</v>
      </c>
      <c r="K76" s="13">
        <v>793</v>
      </c>
      <c r="L76" s="13">
        <v>538</v>
      </c>
      <c r="M76" s="13">
        <v>335</v>
      </c>
      <c r="N76" s="2"/>
      <c r="O76" s="2"/>
      <c r="P76" s="2"/>
      <c r="Q76" s="2"/>
      <c r="R76" s="2"/>
    </row>
    <row r="77" spans="1:18">
      <c r="A77" s="17" t="s">
        <v>79</v>
      </c>
      <c r="B77" s="18">
        <v>-1755</v>
      </c>
      <c r="C77" s="18">
        <v>-1337</v>
      </c>
      <c r="D77" s="18">
        <v>-1800</v>
      </c>
      <c r="E77" s="18">
        <v>-1964</v>
      </c>
      <c r="F77" s="18">
        <v>-3926</v>
      </c>
      <c r="G77" s="13"/>
      <c r="H77" s="13" t="s">
        <v>79</v>
      </c>
      <c r="I77" s="13">
        <v>-733</v>
      </c>
      <c r="J77" s="13">
        <v>-636</v>
      </c>
      <c r="K77" s="13">
        <v>-698</v>
      </c>
      <c r="L77" s="13">
        <v>-545</v>
      </c>
      <c r="M77" s="13">
        <v>-404</v>
      </c>
    </row>
    <row r="78" spans="1:18">
      <c r="A78" s="17" t="s">
        <v>80</v>
      </c>
      <c r="B78" s="17">
        <v>-46</v>
      </c>
      <c r="C78" s="17">
        <v>-57</v>
      </c>
      <c r="D78" s="17">
        <v>-90</v>
      </c>
      <c r="E78" s="17">
        <v>45</v>
      </c>
      <c r="F78" s="17">
        <v>111</v>
      </c>
      <c r="G78" s="13"/>
      <c r="H78" s="13" t="s">
        <v>80</v>
      </c>
      <c r="I78" s="13">
        <v>-5</v>
      </c>
      <c r="J78" s="13">
        <v>-2</v>
      </c>
      <c r="K78" s="13">
        <v>-9</v>
      </c>
      <c r="L78" s="13">
        <v>16</v>
      </c>
      <c r="M78" s="13">
        <v>25</v>
      </c>
    </row>
    <row r="79" spans="1:18">
      <c r="A79" s="17" t="s">
        <v>81</v>
      </c>
      <c r="B79" s="18">
        <v>2596</v>
      </c>
      <c r="C79" s="18">
        <v>3694</v>
      </c>
      <c r="D79" s="18">
        <v>4656</v>
      </c>
      <c r="E79" s="18">
        <v>5448</v>
      </c>
      <c r="F79" s="18">
        <v>8145</v>
      </c>
      <c r="G79" s="13"/>
      <c r="H79" s="13" t="s">
        <v>81</v>
      </c>
      <c r="I79" s="13">
        <v>-185</v>
      </c>
      <c r="J79" s="13">
        <v>-742</v>
      </c>
      <c r="K79" s="14">
        <v>-1158</v>
      </c>
      <c r="L79" s="13">
        <v>-398</v>
      </c>
      <c r="M79" s="13">
        <v>308</v>
      </c>
    </row>
    <row r="80" spans="1:18">
      <c r="A80" s="17" t="s">
        <v>82</v>
      </c>
      <c r="B80" s="18">
        <v>-15023</v>
      </c>
      <c r="C80" s="18">
        <v>-16128</v>
      </c>
      <c r="D80" s="18">
        <v>-17082</v>
      </c>
      <c r="E80" s="18">
        <v>-17280</v>
      </c>
      <c r="F80" s="18">
        <v>-17910</v>
      </c>
      <c r="G80" s="13"/>
      <c r="H80" s="13" t="s">
        <v>82</v>
      </c>
      <c r="I80" s="14">
        <v>-3583</v>
      </c>
      <c r="J80" s="14">
        <v>-3821</v>
      </c>
      <c r="K80" s="14">
        <v>-4013</v>
      </c>
      <c r="L80" s="14">
        <v>-4104</v>
      </c>
      <c r="M80" s="14">
        <v>-6719</v>
      </c>
    </row>
    <row r="81" spans="1:18">
      <c r="A81" s="17" t="s">
        <v>83</v>
      </c>
      <c r="B81" s="19">
        <v>0.26440000000000002</v>
      </c>
      <c r="C81" s="19">
        <v>0.25380000000000003</v>
      </c>
      <c r="D81" s="19">
        <v>0.24199999999999999</v>
      </c>
      <c r="E81" s="19">
        <v>0.30149999999999999</v>
      </c>
      <c r="F81" s="19">
        <v>0.3075</v>
      </c>
      <c r="G81" s="13"/>
      <c r="H81" s="13" t="s">
        <v>83</v>
      </c>
      <c r="I81" s="15">
        <v>0.25800000000000001</v>
      </c>
      <c r="J81" s="15">
        <v>0.24310000000000001</v>
      </c>
      <c r="K81" s="15">
        <v>0.24010000000000001</v>
      </c>
      <c r="L81" s="15">
        <v>0.22309999999999999</v>
      </c>
      <c r="M81" s="15">
        <v>0.21440000000000001</v>
      </c>
    </row>
    <row r="82" spans="1:18">
      <c r="A82" s="17" t="s">
        <v>84</v>
      </c>
      <c r="B82" s="18">
        <v>104372</v>
      </c>
      <c r="C82" s="18">
        <v>103297</v>
      </c>
      <c r="D82" s="18">
        <v>97500</v>
      </c>
      <c r="E82" s="18">
        <v>166332</v>
      </c>
      <c r="F82" s="18">
        <v>161673</v>
      </c>
      <c r="G82" s="13"/>
      <c r="H82" s="13" t="s">
        <v>84</v>
      </c>
      <c r="I82" s="14">
        <v>99237</v>
      </c>
      <c r="J82" s="14">
        <v>92430</v>
      </c>
      <c r="K82" s="14">
        <v>91144</v>
      </c>
      <c r="L82" s="14">
        <v>81790</v>
      </c>
      <c r="M82" s="14">
        <v>67842</v>
      </c>
    </row>
    <row r="83" spans="1:18">
      <c r="A83" s="17" t="s">
        <v>85</v>
      </c>
      <c r="B83" s="19">
        <v>0.26440000000000002</v>
      </c>
      <c r="C83" s="19">
        <v>0.25380000000000003</v>
      </c>
      <c r="D83" s="19">
        <v>0.24199999999999999</v>
      </c>
      <c r="E83" s="19">
        <v>0.30149999999999999</v>
      </c>
      <c r="F83" s="19">
        <v>0.3075</v>
      </c>
      <c r="G83" s="13"/>
      <c r="H83" s="13" t="s">
        <v>85</v>
      </c>
      <c r="I83" s="15">
        <v>0.25800000000000001</v>
      </c>
      <c r="J83" s="15">
        <v>0.24310000000000001</v>
      </c>
      <c r="K83" s="15">
        <v>0.24010000000000001</v>
      </c>
      <c r="L83" s="15">
        <v>0.22309999999999999</v>
      </c>
      <c r="M83" s="15">
        <v>0.21440000000000001</v>
      </c>
    </row>
    <row r="84" spans="1:18">
      <c r="A84" s="17" t="s">
        <v>86</v>
      </c>
      <c r="B84" s="18">
        <v>15853</v>
      </c>
      <c r="C84" s="18">
        <v>16118</v>
      </c>
      <c r="D84" s="18">
        <v>8957</v>
      </c>
      <c r="E84" s="18">
        <v>17523</v>
      </c>
      <c r="F84" s="18">
        <v>17567</v>
      </c>
      <c r="G84" s="13"/>
      <c r="H84" s="13" t="s">
        <v>86</v>
      </c>
      <c r="I84" s="14">
        <v>1338</v>
      </c>
      <c r="J84" s="14">
        <v>1369</v>
      </c>
      <c r="K84" s="14">
        <v>1319</v>
      </c>
      <c r="L84" s="14">
        <v>1410</v>
      </c>
      <c r="M84" s="14">
        <v>1430</v>
      </c>
    </row>
    <row r="85" spans="1:18" ht="19">
      <c r="A85" s="17" t="s">
        <v>87</v>
      </c>
      <c r="B85" s="18">
        <v>120225</v>
      </c>
      <c r="C85" s="18">
        <v>119415</v>
      </c>
      <c r="D85" s="18">
        <v>106457</v>
      </c>
      <c r="E85" s="18">
        <v>183855</v>
      </c>
      <c r="F85" s="18">
        <v>179240</v>
      </c>
      <c r="G85" s="13"/>
      <c r="H85" s="13" t="s">
        <v>87</v>
      </c>
      <c r="I85" s="14">
        <v>100575</v>
      </c>
      <c r="J85" s="14">
        <v>93799</v>
      </c>
      <c r="K85" s="14">
        <v>92463</v>
      </c>
      <c r="L85" s="14">
        <v>83200</v>
      </c>
      <c r="M85" s="14">
        <v>69272</v>
      </c>
      <c r="N85" s="2"/>
      <c r="O85" s="2"/>
      <c r="P85" s="2"/>
      <c r="Q85" s="2"/>
      <c r="R85" s="2"/>
    </row>
    <row r="86" spans="1:18" ht="19">
      <c r="A86" s="17" t="s">
        <v>88</v>
      </c>
      <c r="B86" s="18">
        <v>394795</v>
      </c>
      <c r="C86" s="18">
        <v>407060</v>
      </c>
      <c r="D86" s="18">
        <v>402853</v>
      </c>
      <c r="E86" s="18">
        <v>551622</v>
      </c>
      <c r="F86" s="18">
        <v>525761</v>
      </c>
      <c r="G86" s="13"/>
      <c r="H86" s="13" t="s">
        <v>88</v>
      </c>
      <c r="I86" s="14">
        <v>384711</v>
      </c>
      <c r="J86" s="14">
        <v>380255</v>
      </c>
      <c r="K86" s="14">
        <v>379680</v>
      </c>
      <c r="L86" s="14">
        <v>366596</v>
      </c>
      <c r="M86" s="14">
        <v>316481</v>
      </c>
      <c r="N86" s="2"/>
      <c r="O86" s="2"/>
      <c r="P86" s="2"/>
      <c r="Q86" s="2"/>
      <c r="R86" s="2"/>
    </row>
    <row r="87" spans="1:18" ht="19">
      <c r="G87" s="4"/>
      <c r="N87" s="2"/>
      <c r="O87" s="2"/>
      <c r="P87" s="2"/>
      <c r="Q87" s="2"/>
      <c r="R87" s="2"/>
    </row>
    <row r="88" spans="1:18" ht="19">
      <c r="G88" s="4"/>
      <c r="N88" s="2"/>
      <c r="O88" s="2"/>
      <c r="P88" s="2"/>
      <c r="Q88" s="2"/>
      <c r="R88" s="2"/>
    </row>
    <row r="89" spans="1:18" ht="19" customHeight="1">
      <c r="A89" s="120" t="s">
        <v>89</v>
      </c>
      <c r="B89" s="120"/>
      <c r="C89" s="120"/>
      <c r="D89" s="120"/>
      <c r="E89" s="120"/>
      <c r="F89" s="120"/>
      <c r="H89" s="120" t="s">
        <v>90</v>
      </c>
      <c r="I89" s="120"/>
      <c r="J89" s="120"/>
      <c r="K89" s="120"/>
      <c r="L89" s="120"/>
      <c r="M89" s="120"/>
      <c r="N89" s="2"/>
      <c r="O89" s="2"/>
      <c r="P89" s="2"/>
      <c r="Q89" s="2"/>
      <c r="R89" s="2"/>
    </row>
    <row r="90" spans="1:18">
      <c r="B90" s="4">
        <v>2024</v>
      </c>
      <c r="C90" s="4">
        <v>2023</v>
      </c>
      <c r="D90" s="4">
        <v>2022</v>
      </c>
      <c r="E90" s="4">
        <v>2021</v>
      </c>
      <c r="F90" s="4">
        <v>2020</v>
      </c>
      <c r="I90" s="4">
        <v>2024</v>
      </c>
      <c r="J90" s="4">
        <v>2023</v>
      </c>
      <c r="K90" s="4">
        <v>2022</v>
      </c>
      <c r="L90" s="4">
        <v>2021</v>
      </c>
      <c r="M90" s="4">
        <v>2020</v>
      </c>
      <c r="N90" s="119"/>
      <c r="O90" s="119"/>
      <c r="P90" s="119"/>
      <c r="Q90" s="119"/>
      <c r="R90" s="119"/>
    </row>
    <row r="91" spans="1:18">
      <c r="A91" t="s">
        <v>3</v>
      </c>
      <c r="B91" s="6">
        <f>B3/B39</f>
        <v>8.5234108841297385E-3</v>
      </c>
      <c r="C91" s="6">
        <f>C3/$C$39</f>
        <v>1.6714980592541642E-2</v>
      </c>
      <c r="D91" s="6">
        <f>D3/$D$39</f>
        <v>9.2837834147939825E-3</v>
      </c>
      <c r="E91" s="6">
        <f>E3/$E$39</f>
        <v>3.485357726849183E-2</v>
      </c>
      <c r="F91" s="6">
        <f>F3/$F$39</f>
        <v>1.8597803945138571E-2</v>
      </c>
      <c r="H91" s="1" t="s">
        <v>3</v>
      </c>
      <c r="I91" s="6">
        <f>I3/$I$39</f>
        <v>1.1730883702311606E-2</v>
      </c>
      <c r="J91" s="6">
        <f>J3/$J$39</f>
        <v>8.702055199800135E-3</v>
      </c>
      <c r="K91" s="6">
        <f>K3/$K$39</f>
        <v>1.0398230088495575E-2</v>
      </c>
      <c r="L91" s="6">
        <f>L3/$L$39</f>
        <v>1.0952110770439394E-2</v>
      </c>
      <c r="M91" s="6">
        <f>M3/$M$39</f>
        <v>7.3830656500706207E-2</v>
      </c>
    </row>
    <row r="92" spans="1:18">
      <c r="A92" t="s">
        <v>4</v>
      </c>
      <c r="B92" s="6">
        <f>B4/B39</f>
        <v>8.3562355146341773E-3</v>
      </c>
      <c r="C92" s="6">
        <f>C4/$C$39</f>
        <v>1.6518449368643443E-2</v>
      </c>
      <c r="D92" s="6">
        <f>D4/$D$39</f>
        <v>9.1894562036276255E-3</v>
      </c>
      <c r="E92" s="6">
        <f>E4/$E$39</f>
        <v>3.485357726849183E-2</v>
      </c>
      <c r="F92" s="6">
        <f>F4/$F$39</f>
        <v>1.854264580294088E-2</v>
      </c>
      <c r="H92" s="1" t="s">
        <v>4</v>
      </c>
      <c r="I92" s="6">
        <f t="shared" ref="I92:I99" si="0">I4/$I$39</f>
        <v>1.1730883702311606E-2</v>
      </c>
      <c r="J92" s="6">
        <f t="shared" ref="J92:J99" si="1">J4/$J$39</f>
        <v>8.702055199800135E-3</v>
      </c>
      <c r="K92" s="6">
        <f t="shared" ref="K92:K99" si="2">K4/$K$39</f>
        <v>1.0398230088495575E-2</v>
      </c>
      <c r="L92" s="6">
        <f t="shared" ref="L92:L99" si="3">L4/$L$39</f>
        <v>1.0952110770439394E-2</v>
      </c>
      <c r="M92" s="6">
        <f t="shared" ref="M92:M99" si="4">M4/$M$39</f>
        <v>7.3830656500706207E-2</v>
      </c>
    </row>
    <row r="93" spans="1:18">
      <c r="B93" s="6"/>
      <c r="C93" s="6"/>
      <c r="D93" s="6"/>
      <c r="E93" s="6"/>
      <c r="F93" s="6"/>
      <c r="H93" s="3"/>
      <c r="I93" s="6"/>
      <c r="J93" s="6"/>
      <c r="K93" s="6"/>
      <c r="L93" s="6"/>
      <c r="M93" s="6"/>
    </row>
    <row r="94" spans="1:18">
      <c r="B94" s="6"/>
      <c r="C94" s="6"/>
      <c r="D94" s="6"/>
      <c r="E94" s="6"/>
      <c r="F94" s="6"/>
      <c r="H94" s="1"/>
      <c r="I94" s="6"/>
      <c r="J94" s="6"/>
      <c r="K94" s="6"/>
      <c r="L94" s="6"/>
      <c r="M94" s="6"/>
    </row>
    <row r="95" spans="1:18">
      <c r="A95" t="s">
        <v>8</v>
      </c>
      <c r="B95" s="6">
        <f>B7/$B$39</f>
        <v>4.2219379678060769E-2</v>
      </c>
      <c r="C95" s="6">
        <f>C7/$C$39</f>
        <v>3.7178794280941382E-2</v>
      </c>
      <c r="D95" s="6">
        <f>D7/$D$39</f>
        <v>3.8934797556428771E-2</v>
      </c>
      <c r="E95" s="6">
        <f>E7/$E$39</f>
        <v>3.0850836261062831E-2</v>
      </c>
      <c r="F95" s="6">
        <f>F7/$F$39</f>
        <v>4.5163106430488376E-2</v>
      </c>
      <c r="H95" s="1" t="s">
        <v>8</v>
      </c>
      <c r="I95" s="6">
        <f t="shared" si="0"/>
        <v>6.9480727091245115E-2</v>
      </c>
      <c r="J95" s="6">
        <f t="shared" si="1"/>
        <v>6.7404767853151179E-2</v>
      </c>
      <c r="K95" s="6">
        <f t="shared" si="2"/>
        <v>6.6271597134428997E-2</v>
      </c>
      <c r="L95" s="6">
        <f t="shared" si="3"/>
        <v>6.7062924854608338E-2</v>
      </c>
      <c r="M95" s="6">
        <f t="shared" si="4"/>
        <v>7.7887772093743382E-2</v>
      </c>
    </row>
    <row r="96" spans="1:18">
      <c r="A96" t="s">
        <v>9</v>
      </c>
      <c r="B96" s="6">
        <f>B8/$B$39</f>
        <v>3.4151901619828014E-2</v>
      </c>
      <c r="C96" s="6">
        <f>C8/$C$39</f>
        <v>3.3994988453790599E-2</v>
      </c>
      <c r="D96" s="6">
        <f>D8/$D$39</f>
        <v>3.5762424507202378E-2</v>
      </c>
      <c r="E96" s="6">
        <f>E8/$E$39</f>
        <v>2.7002186279735035E-2</v>
      </c>
      <c r="F96" s="6">
        <f>F8/$F$39</f>
        <v>4.2355747193116265E-2</v>
      </c>
      <c r="H96" s="1" t="s">
        <v>9</v>
      </c>
      <c r="I96" s="6">
        <f t="shared" si="0"/>
        <v>6.9480727091245115E-2</v>
      </c>
      <c r="J96" s="6">
        <f t="shared" si="1"/>
        <v>6.7404767853151179E-2</v>
      </c>
      <c r="K96" s="6">
        <f t="shared" si="2"/>
        <v>6.6271597134428997E-2</v>
      </c>
      <c r="L96" s="6">
        <f t="shared" si="3"/>
        <v>6.7062924854608338E-2</v>
      </c>
      <c r="M96" s="6">
        <f t="shared" si="4"/>
        <v>7.7887772093743382E-2</v>
      </c>
    </row>
    <row r="97" spans="1:13">
      <c r="A97" t="s">
        <v>10</v>
      </c>
      <c r="B97" s="6">
        <f>B9/$B$39</f>
        <v>3.5101761673780062E-2</v>
      </c>
      <c r="C97" s="6">
        <f>C9/$C$39</f>
        <v>3.5220851962855598E-2</v>
      </c>
      <c r="D97" s="6">
        <f>D9/$D$39</f>
        <v>3.7222013985250206E-2</v>
      </c>
      <c r="E97" s="6">
        <f>E9/$E$39</f>
        <v>2.8195032105318499E-2</v>
      </c>
      <c r="F97" s="6">
        <f>F9/$F$39</f>
        <v>4.4678095180129378E-2</v>
      </c>
      <c r="H97" s="1" t="s">
        <v>10</v>
      </c>
      <c r="I97" s="6">
        <f t="shared" si="0"/>
        <v>7.2475182669588342E-2</v>
      </c>
      <c r="J97" s="6">
        <f t="shared" si="1"/>
        <v>7.0079288898239334E-2</v>
      </c>
      <c r="K97" s="6">
        <f t="shared" si="2"/>
        <v>6.8447113358617778E-2</v>
      </c>
      <c r="L97" s="6">
        <f t="shared" si="3"/>
        <v>6.9507032264400054E-2</v>
      </c>
      <c r="M97" s="6">
        <f t="shared" si="4"/>
        <v>8.1843775771689289E-2</v>
      </c>
    </row>
    <row r="98" spans="1:13">
      <c r="A98" t="s">
        <v>11</v>
      </c>
      <c r="B98" s="6">
        <f>B10/$B$39</f>
        <v>-9.4986005395205101E-4</v>
      </c>
      <c r="C98" s="6">
        <f>C10/$C$39</f>
        <v>-1.2258635090650026E-3</v>
      </c>
      <c r="D98" s="6">
        <f>D10/$D$39</f>
        <v>-1.4595894780478238E-3</v>
      </c>
      <c r="E98" s="6">
        <f>E10/$E$39</f>
        <v>-1.1928458255834611E-3</v>
      </c>
      <c r="F98" s="6">
        <f>F10/$F$39</f>
        <v>-2.3223479870131103E-3</v>
      </c>
      <c r="H98" s="5" t="s">
        <v>11</v>
      </c>
      <c r="I98" s="6">
        <f t="shared" si="0"/>
        <v>-2.994455578343224E-3</v>
      </c>
      <c r="J98" s="6">
        <f t="shared" si="1"/>
        <v>-2.6745210450881646E-3</v>
      </c>
      <c r="K98" s="6">
        <f t="shared" si="2"/>
        <v>-2.1755162241887905E-3</v>
      </c>
      <c r="L98" s="6">
        <f t="shared" si="3"/>
        <v>-2.4441074097917054E-3</v>
      </c>
      <c r="M98" s="6">
        <f t="shared" si="4"/>
        <v>-3.9560036779459117E-3</v>
      </c>
    </row>
    <row r="99" spans="1:13">
      <c r="A99" t="s">
        <v>12</v>
      </c>
      <c r="B99" s="6">
        <f>B11/$B$39</f>
        <v>8.0674780582327531E-3</v>
      </c>
      <c r="C99" s="6">
        <f>C11/$C$39</f>
        <v>3.1838058271507885E-3</v>
      </c>
      <c r="D99" s="6">
        <f>D11/$D$39</f>
        <v>3.172373049226393E-3</v>
      </c>
      <c r="E99" s="6">
        <f>E11/$E$39</f>
        <v>3.8486499813277933E-3</v>
      </c>
      <c r="F99" s="6">
        <f>F11/$F$39</f>
        <v>2.8073592373721139E-3</v>
      </c>
      <c r="H99" t="s">
        <v>12</v>
      </c>
      <c r="I99" s="6">
        <f t="shared" si="0"/>
        <v>0</v>
      </c>
      <c r="J99" s="6">
        <f t="shared" si="1"/>
        <v>0</v>
      </c>
      <c r="K99" s="6">
        <f t="shared" si="2"/>
        <v>0</v>
      </c>
      <c r="L99" s="6">
        <f t="shared" si="3"/>
        <v>0</v>
      </c>
      <c r="M99" s="6">
        <f t="shared" si="4"/>
        <v>0</v>
      </c>
    </row>
    <row r="100" spans="1:13">
      <c r="A100" t="s">
        <v>15</v>
      </c>
      <c r="B100" s="6">
        <f>B14/$B$39</f>
        <v>5.749819526589749E-3</v>
      </c>
      <c r="C100" s="6">
        <f>C14/$C$39</f>
        <v>5.348105930329681E-3</v>
      </c>
      <c r="D100" s="6">
        <f>D14/$D$39</f>
        <v>7.7522073808560443E-3</v>
      </c>
      <c r="E100" s="6">
        <f>E14/$E$39</f>
        <v>6.0276783739589791E-3</v>
      </c>
      <c r="F100" s="6">
        <f>F14/$F$39</f>
        <v>6.8320016129001584E-3</v>
      </c>
      <c r="H100" s="1" t="s">
        <v>15</v>
      </c>
      <c r="I100" s="6">
        <f t="shared" ref="I100:I125" si="5">I14/$I$39</f>
        <v>5.8407479900496736E-3</v>
      </c>
      <c r="J100" s="6">
        <f t="shared" ref="J100:J125" si="6">J14/$J$39</f>
        <v>5.4095278168597386E-3</v>
      </c>
      <c r="K100" s="6">
        <f t="shared" ref="K100:K125" si="7">K14/$K$39</f>
        <v>6.2895069532237675E-3</v>
      </c>
      <c r="L100" s="6">
        <f t="shared" ref="L100:L125" si="8">L14/$L$39</f>
        <v>8.3334242599482806E-3</v>
      </c>
      <c r="M100" s="6">
        <f t="shared" ref="M100:M125" si="9">M14/$M$39</f>
        <v>5.6749062344974895E-3</v>
      </c>
    </row>
    <row r="101" spans="1:13">
      <c r="A101" t="s">
        <v>16</v>
      </c>
      <c r="B101" s="6"/>
      <c r="C101" s="6"/>
      <c r="D101" s="6" t="str">
        <f>D15</f>
        <v>-</v>
      </c>
      <c r="E101" s="6"/>
      <c r="F101" s="6">
        <f>F15/$F$39</f>
        <v>6.8320016129001584E-3</v>
      </c>
      <c r="H101" s="1" t="s">
        <v>16</v>
      </c>
      <c r="I101" s="6">
        <f t="shared" si="5"/>
        <v>5.8407479900496736E-3</v>
      </c>
      <c r="J101" s="6">
        <f t="shared" si="6"/>
        <v>5.4095278168597386E-3</v>
      </c>
      <c r="K101" s="6">
        <f t="shared" si="7"/>
        <v>6.2895069532237675E-3</v>
      </c>
      <c r="L101" s="6">
        <f t="shared" si="8"/>
        <v>8.3334242599482806E-3</v>
      </c>
      <c r="M101" s="6">
        <f t="shared" si="9"/>
        <v>5.6749062344974895E-3</v>
      </c>
    </row>
    <row r="102" spans="1:13">
      <c r="A102" t="s">
        <v>17</v>
      </c>
      <c r="B102" s="6">
        <f>B16/$B$39</f>
        <v>5.749819526589749E-3</v>
      </c>
      <c r="C102" s="6">
        <f>C16/$C$39</f>
        <v>5.348105930329681E-3</v>
      </c>
      <c r="D102" s="6">
        <f>D16/$D$39</f>
        <v>7.7522073808560443E-3</v>
      </c>
      <c r="E102" s="6">
        <f>E16/$E$39</f>
        <v>6.0276783739589791E-3</v>
      </c>
      <c r="F102" s="6" t="str">
        <f>F16</f>
        <v>-</v>
      </c>
      <c r="I102" s="6">
        <f t="shared" si="5"/>
        <v>0</v>
      </c>
      <c r="J102" s="6">
        <f t="shared" si="6"/>
        <v>0</v>
      </c>
      <c r="K102" s="6">
        <f t="shared" si="7"/>
        <v>0</v>
      </c>
      <c r="L102" s="6">
        <f t="shared" si="8"/>
        <v>0</v>
      </c>
      <c r="M102" s="6">
        <f t="shared" si="9"/>
        <v>0</v>
      </c>
    </row>
    <row r="103" spans="1:13">
      <c r="A103" t="s">
        <v>18</v>
      </c>
      <c r="B103" s="6">
        <f>B17/$B$39</f>
        <v>8.9286845071492801E-3</v>
      </c>
      <c r="C103" s="6">
        <f>C17/$C$39</f>
        <v>1.6631454822384907E-2</v>
      </c>
      <c r="D103" s="6">
        <f>D17/$D$39</f>
        <v>1.2873182029176896E-2</v>
      </c>
      <c r="E103" s="6">
        <f>E17/$E$39</f>
        <v>0.22850430185888163</v>
      </c>
      <c r="F103" s="6">
        <f t="shared" ref="F103:F125" si="10">F17/$F$39</f>
        <v>2.8326559025869169E-2</v>
      </c>
      <c r="H103" s="1" t="s">
        <v>18</v>
      </c>
      <c r="I103" s="6">
        <f t="shared" si="5"/>
        <v>1.06599499364458E-2</v>
      </c>
      <c r="J103" s="6">
        <f t="shared" si="6"/>
        <v>8.0498612773007589E-3</v>
      </c>
      <c r="K103" s="6">
        <f t="shared" si="7"/>
        <v>9.8240623683101564E-3</v>
      </c>
      <c r="L103" s="6">
        <f t="shared" si="8"/>
        <v>7.2041157022989886E-3</v>
      </c>
      <c r="M103" s="6">
        <f t="shared" si="9"/>
        <v>7.2990163706510031E-3</v>
      </c>
    </row>
    <row r="104" spans="1:13">
      <c r="A104" t="s">
        <v>19</v>
      </c>
      <c r="B104" s="6" t="str">
        <f>B18</f>
        <v>-</v>
      </c>
      <c r="C104" s="6"/>
      <c r="D104" s="6" t="str">
        <f>D18</f>
        <v>-</v>
      </c>
      <c r="E104" s="6" t="str">
        <f>E18</f>
        <v>-</v>
      </c>
      <c r="F104" s="6">
        <f t="shared" si="10"/>
        <v>3.4654529339376637E-3</v>
      </c>
      <c r="H104" s="1" t="s">
        <v>19</v>
      </c>
      <c r="I104" s="6">
        <f t="shared" si="5"/>
        <v>2.1080759323232243E-3</v>
      </c>
      <c r="J104" s="6">
        <f t="shared" si="6"/>
        <v>1.4463978119945826E-3</v>
      </c>
      <c r="K104" s="6">
        <f t="shared" si="7"/>
        <v>4.3984407922461022E-4</v>
      </c>
      <c r="L104" s="6">
        <f t="shared" si="8"/>
        <v>2.9814837041320691E-3</v>
      </c>
      <c r="M104" s="6">
        <f t="shared" si="9"/>
        <v>3.7916968159225988E-3</v>
      </c>
    </row>
    <row r="105" spans="1:13">
      <c r="A105" t="s">
        <v>20</v>
      </c>
      <c r="B105" s="6">
        <f t="shared" ref="B105:B125" si="11">B19/$B$39</f>
        <v>8.9286845071492801E-3</v>
      </c>
      <c r="C105" s="6">
        <f t="shared" ref="C105:C125" si="12">C19/$C$39</f>
        <v>1.6631454822384907E-2</v>
      </c>
      <c r="D105" s="6">
        <f t="shared" ref="D105:D125" si="13">D19/$D$39</f>
        <v>1.2873182029176896E-2</v>
      </c>
      <c r="E105" s="6">
        <f t="shared" ref="E105:E125" si="14">E19/$E$39</f>
        <v>0.22850430185888163</v>
      </c>
      <c r="F105" s="6">
        <f t="shared" si="10"/>
        <v>2.4861106091931505E-2</v>
      </c>
      <c r="H105" s="1" t="s">
        <v>21</v>
      </c>
      <c r="I105" s="6">
        <f t="shared" si="5"/>
        <v>8.5518740041225748E-3</v>
      </c>
      <c r="J105" s="6">
        <f t="shared" si="6"/>
        <v>6.6034634653061759E-3</v>
      </c>
      <c r="K105" s="6">
        <f t="shared" si="7"/>
        <v>9.3842182890855452E-3</v>
      </c>
      <c r="L105" s="6">
        <f t="shared" si="8"/>
        <v>4.222631998166919E-3</v>
      </c>
      <c r="M105" s="6">
        <f t="shared" si="9"/>
        <v>3.5073195547284039E-3</v>
      </c>
    </row>
    <row r="106" spans="1:13">
      <c r="A106" t="s">
        <v>22</v>
      </c>
      <c r="B106" s="6">
        <f t="shared" si="11"/>
        <v>6.5421294595929533E-2</v>
      </c>
      <c r="C106" s="6">
        <f t="shared" si="12"/>
        <v>7.5873335626197608E-2</v>
      </c>
      <c r="D106" s="6">
        <f t="shared" si="13"/>
        <v>6.8843970381255698E-2</v>
      </c>
      <c r="E106" s="6">
        <f t="shared" si="14"/>
        <v>0.30023639376239525</v>
      </c>
      <c r="F106" s="6">
        <f t="shared" si="10"/>
        <v>9.8919471014396271E-2</v>
      </c>
      <c r="H106" s="1" t="s">
        <v>22</v>
      </c>
      <c r="I106" s="6">
        <f t="shared" si="5"/>
        <v>9.7712308720052196E-2</v>
      </c>
      <c r="J106" s="6">
        <f t="shared" si="6"/>
        <v>8.9566212147111801E-2</v>
      </c>
      <c r="K106" s="6">
        <f t="shared" si="7"/>
        <v>9.2783396544458496E-2</v>
      </c>
      <c r="L106" s="6">
        <f t="shared" si="8"/>
        <v>9.3552575587295003E-2</v>
      </c>
      <c r="M106" s="6">
        <f t="shared" si="9"/>
        <v>0.16469235119959807</v>
      </c>
    </row>
    <row r="107" spans="1:13">
      <c r="A107" t="s">
        <v>23</v>
      </c>
      <c r="B107" s="6">
        <f t="shared" si="11"/>
        <v>0.37938677034916857</v>
      </c>
      <c r="C107" s="6">
        <f t="shared" si="12"/>
        <v>0.36700732078809023</v>
      </c>
      <c r="D107" s="6">
        <f t="shared" si="13"/>
        <v>0.37050487398629278</v>
      </c>
      <c r="E107" s="6">
        <f t="shared" si="14"/>
        <v>0.26009296220962907</v>
      </c>
      <c r="F107" s="6">
        <f t="shared" si="10"/>
        <v>0.28915990345423109</v>
      </c>
      <c r="H107" s="1" t="s">
        <v>23</v>
      </c>
      <c r="I107" s="6">
        <f t="shared" si="5"/>
        <v>0.34569845936300236</v>
      </c>
      <c r="J107" s="6">
        <f t="shared" si="6"/>
        <v>0.34985996239365691</v>
      </c>
      <c r="K107" s="6">
        <f t="shared" si="7"/>
        <v>0.35178044669195113</v>
      </c>
      <c r="L107" s="6">
        <f t="shared" si="8"/>
        <v>0.34800979825202677</v>
      </c>
      <c r="M107" s="6">
        <f t="shared" si="9"/>
        <v>0.37084058758661659</v>
      </c>
    </row>
    <row r="108" spans="1:13">
      <c r="A108" t="s">
        <v>24</v>
      </c>
      <c r="B108" s="6">
        <f t="shared" si="11"/>
        <v>0.94181283957496931</v>
      </c>
      <c r="C108" s="6">
        <f t="shared" si="12"/>
        <v>0.88634599321967278</v>
      </c>
      <c r="D108" s="6">
        <f t="shared" si="13"/>
        <v>0.8723876947670739</v>
      </c>
      <c r="E108" s="6">
        <f t="shared" si="14"/>
        <v>0.62803332716969229</v>
      </c>
      <c r="F108" s="6">
        <f t="shared" si="10"/>
        <v>0.67039015826582804</v>
      </c>
      <c r="H108" s="1" t="s">
        <v>24</v>
      </c>
      <c r="I108" s="6">
        <f t="shared" si="5"/>
        <v>0.92505283186599807</v>
      </c>
      <c r="J108" s="6">
        <f t="shared" si="6"/>
        <v>0.9068493510933453</v>
      </c>
      <c r="K108" s="6">
        <f t="shared" si="7"/>
        <v>0.87921144121365358</v>
      </c>
      <c r="L108" s="6">
        <f t="shared" si="8"/>
        <v>0.86683979094152697</v>
      </c>
      <c r="M108" s="6">
        <f t="shared" si="9"/>
        <v>0.95509051096274344</v>
      </c>
    </row>
    <row r="109" spans="1:13">
      <c r="A109" t="s">
        <v>25</v>
      </c>
      <c r="B109" s="6">
        <f t="shared" si="11"/>
        <v>0.10118415886726022</v>
      </c>
      <c r="C109" s="6">
        <f t="shared" si="12"/>
        <v>9.6742494963887385E-2</v>
      </c>
      <c r="D109" s="6">
        <f t="shared" si="13"/>
        <v>9.6191414734406844E-2</v>
      </c>
      <c r="E109" s="6">
        <f t="shared" si="14"/>
        <v>6.9257571307888371E-2</v>
      </c>
      <c r="F109" s="6">
        <f t="shared" si="10"/>
        <v>7.4973229280985085E-2</v>
      </c>
      <c r="H109" s="1" t="s">
        <v>25</v>
      </c>
      <c r="I109" s="6">
        <f t="shared" si="5"/>
        <v>0.10171271421924509</v>
      </c>
      <c r="J109" s="6">
        <f t="shared" si="6"/>
        <v>9.7145336681963415E-2</v>
      </c>
      <c r="K109" s="6">
        <f t="shared" si="7"/>
        <v>9.3189001264222499E-2</v>
      </c>
      <c r="L109" s="6">
        <f t="shared" si="8"/>
        <v>9.1002084038014602E-2</v>
      </c>
      <c r="M109" s="6">
        <f t="shared" si="9"/>
        <v>0.10405995936564913</v>
      </c>
    </row>
    <row r="110" spans="1:13">
      <c r="A110" t="s">
        <v>26</v>
      </c>
      <c r="B110" s="6">
        <f t="shared" si="11"/>
        <v>3.4752213173925707E-3</v>
      </c>
      <c r="C110" s="6">
        <f t="shared" si="12"/>
        <v>3.3827936913477128E-3</v>
      </c>
      <c r="D110" s="6">
        <f t="shared" si="13"/>
        <v>3.4280494373878311E-3</v>
      </c>
      <c r="E110" s="6">
        <f t="shared" si="14"/>
        <v>2.5397826772681291E-3</v>
      </c>
      <c r="F110" s="6">
        <f t="shared" si="10"/>
        <v>4.890054606560776E-3</v>
      </c>
      <c r="H110" s="1" t="s">
        <v>26</v>
      </c>
      <c r="I110" s="6">
        <f t="shared" si="5"/>
        <v>1.9235218124774181E-3</v>
      </c>
      <c r="J110" s="6">
        <f t="shared" si="6"/>
        <v>1.9749904669235118E-3</v>
      </c>
      <c r="K110" s="6">
        <f t="shared" si="7"/>
        <v>1.9674462705436156E-3</v>
      </c>
      <c r="L110" s="6">
        <f t="shared" si="8"/>
        <v>1.8358083557922073E-3</v>
      </c>
      <c r="M110" s="6">
        <f t="shared" si="9"/>
        <v>1.9211263867341167E-3</v>
      </c>
    </row>
    <row r="111" spans="1:13">
      <c r="A111" t="s">
        <v>27</v>
      </c>
      <c r="B111" s="6">
        <f t="shared" si="11"/>
        <v>0.72057650172874532</v>
      </c>
      <c r="C111" s="6">
        <f t="shared" si="12"/>
        <v>0.67742347565469463</v>
      </c>
      <c r="D111" s="6">
        <f t="shared" si="13"/>
        <v>0.65700391954385351</v>
      </c>
      <c r="E111" s="6">
        <f t="shared" si="14"/>
        <v>0.47688997175602132</v>
      </c>
      <c r="F111" s="6">
        <f t="shared" si="10"/>
        <v>0.5005715524734623</v>
      </c>
      <c r="H111" s="1" t="s">
        <v>27</v>
      </c>
      <c r="I111" s="6">
        <f t="shared" si="5"/>
        <v>0.6745063177294125</v>
      </c>
      <c r="J111" s="6">
        <f t="shared" si="6"/>
        <v>0.65355090662844673</v>
      </c>
      <c r="K111" s="6">
        <f t="shared" si="7"/>
        <v>0.6258507163927518</v>
      </c>
      <c r="L111" s="6">
        <f t="shared" si="8"/>
        <v>0.60822540344139053</v>
      </c>
      <c r="M111" s="6">
        <f t="shared" si="9"/>
        <v>0.68624340797709815</v>
      </c>
    </row>
    <row r="112" spans="1:13">
      <c r="A112" t="s">
        <v>28</v>
      </c>
      <c r="B112" s="6">
        <f t="shared" si="11"/>
        <v>1.8875618992135159E-2</v>
      </c>
      <c r="C112" s="6">
        <f t="shared" si="12"/>
        <v>1.3855451284822877E-2</v>
      </c>
      <c r="D112" s="6">
        <f t="shared" si="13"/>
        <v>1.7827842910441278E-2</v>
      </c>
      <c r="E112" s="6">
        <f t="shared" si="14"/>
        <v>9.8346331364593878E-3</v>
      </c>
      <c r="F112" s="6">
        <f t="shared" si="10"/>
        <v>7.7963180989080588E-3</v>
      </c>
      <c r="H112" s="1" t="s">
        <v>28</v>
      </c>
      <c r="I112" s="6">
        <f t="shared" si="5"/>
        <v>2.4496310217279983E-2</v>
      </c>
      <c r="J112" s="6">
        <f t="shared" si="6"/>
        <v>3.1799713350251807E-2</v>
      </c>
      <c r="K112" s="6">
        <f t="shared" si="7"/>
        <v>3.3947008006742517E-2</v>
      </c>
      <c r="L112" s="6">
        <f t="shared" si="8"/>
        <v>3.5616864341127562E-2</v>
      </c>
      <c r="M112" s="6">
        <f t="shared" si="9"/>
        <v>2.7097993244460172E-2</v>
      </c>
    </row>
    <row r="113" spans="1:13">
      <c r="A113" t="s">
        <v>29</v>
      </c>
      <c r="B113" s="6">
        <f t="shared" si="11"/>
        <v>4.4739675021213544E-2</v>
      </c>
      <c r="C113" s="6">
        <f t="shared" si="12"/>
        <v>4.35857121800226E-2</v>
      </c>
      <c r="D113" s="6">
        <f t="shared" si="13"/>
        <v>4.3787684341434714E-2</v>
      </c>
      <c r="E113" s="6">
        <f t="shared" si="14"/>
        <v>2.9948044131669876E-2</v>
      </c>
      <c r="F113" s="6">
        <f t="shared" si="10"/>
        <v>3.5152854624059218E-2</v>
      </c>
      <c r="H113" s="1" t="s">
        <v>30</v>
      </c>
      <c r="I113" s="6">
        <f t="shared" si="5"/>
        <v>5.8802581678194799E-2</v>
      </c>
      <c r="J113" s="6">
        <f t="shared" si="6"/>
        <v>5.735361796689064E-2</v>
      </c>
      <c r="K113" s="6">
        <f t="shared" si="7"/>
        <v>5.5436156763590393E-2</v>
      </c>
      <c r="L113" s="6">
        <f t="shared" si="8"/>
        <v>5.4100426627677334E-2</v>
      </c>
      <c r="M113" s="6">
        <f t="shared" si="9"/>
        <v>6.4575756522508465E-2</v>
      </c>
    </row>
    <row r="114" spans="1:13">
      <c r="A114" t="s">
        <v>31</v>
      </c>
      <c r="B114" s="6">
        <f t="shared" si="11"/>
        <v>0.56242606922580074</v>
      </c>
      <c r="C114" s="6">
        <f t="shared" si="12"/>
        <v>0.5193386724315826</v>
      </c>
      <c r="D114" s="6">
        <f t="shared" si="13"/>
        <v>0.50188282078078106</v>
      </c>
      <c r="E114" s="6">
        <f t="shared" si="14"/>
        <v>0.36794036496006322</v>
      </c>
      <c r="F114" s="6">
        <f t="shared" si="10"/>
        <v>0.38123025481159689</v>
      </c>
      <c r="H114" s="1" t="s">
        <v>31</v>
      </c>
      <c r="I114" s="6">
        <f t="shared" si="5"/>
        <v>0.57935437250299571</v>
      </c>
      <c r="J114" s="6">
        <f t="shared" si="6"/>
        <v>0.55698938869968839</v>
      </c>
      <c r="K114" s="6">
        <f t="shared" si="7"/>
        <v>0.5274309945217025</v>
      </c>
      <c r="L114" s="6">
        <f t="shared" si="8"/>
        <v>0.51882999268950014</v>
      </c>
      <c r="M114" s="6">
        <f t="shared" si="9"/>
        <v>0.5842499233761268</v>
      </c>
    </row>
    <row r="115" spans="1:13">
      <c r="A115" t="s">
        <v>32</v>
      </c>
      <c r="B115" s="6">
        <f t="shared" si="11"/>
        <v>2.5962841474689398E-3</v>
      </c>
      <c r="C115" s="6">
        <f t="shared" si="12"/>
        <v>6.1612538692084702E-3</v>
      </c>
      <c r="D115" s="6">
        <f t="shared" si="13"/>
        <v>1.1711467954812302E-2</v>
      </c>
      <c r="E115" s="6">
        <f t="shared" si="14"/>
        <v>1.1442618314715512E-2</v>
      </c>
      <c r="F115" s="6">
        <f t="shared" si="10"/>
        <v>9.658380899305959E-3</v>
      </c>
      <c r="H115" s="1" t="s">
        <v>32</v>
      </c>
      <c r="I115" s="6">
        <f t="shared" si="5"/>
        <v>4.5046801365180612E-3</v>
      </c>
      <c r="J115" s="6">
        <f t="shared" si="6"/>
        <v>5.6619899804078843E-3</v>
      </c>
      <c r="K115" s="6">
        <f t="shared" si="7"/>
        <v>4.8619890434049729E-3</v>
      </c>
      <c r="L115" s="6">
        <f t="shared" si="8"/>
        <v>6.7185675784787614E-3</v>
      </c>
      <c r="M115" s="6">
        <f t="shared" si="9"/>
        <v>1.0784217693953192E-2</v>
      </c>
    </row>
    <row r="116" spans="1:13">
      <c r="A116" t="s">
        <v>33</v>
      </c>
      <c r="B116" s="6">
        <f t="shared" si="11"/>
        <v>7.4722324244228021E-4</v>
      </c>
      <c r="C116" s="6">
        <f t="shared" si="12"/>
        <v>3.0732570137080527E-3</v>
      </c>
      <c r="D116" s="6">
        <f t="shared" si="13"/>
        <v>8.7699483434404112E-3</v>
      </c>
      <c r="E116" s="6">
        <f t="shared" si="14"/>
        <v>1.1181569988144055E-2</v>
      </c>
      <c r="F116" s="6">
        <f t="shared" si="10"/>
        <v>3.385568727996181E-3</v>
      </c>
      <c r="H116" s="1" t="s">
        <v>33</v>
      </c>
      <c r="I116" s="6">
        <f t="shared" si="5"/>
        <v>2.1886559001432246E-3</v>
      </c>
      <c r="J116" s="6">
        <f t="shared" si="6"/>
        <v>2.5062129360560676E-3</v>
      </c>
      <c r="K116" s="6">
        <f t="shared" si="7"/>
        <v>2.8207964601769911E-3</v>
      </c>
      <c r="L116" s="6">
        <f t="shared" si="8"/>
        <v>2.8941941537823654E-3</v>
      </c>
      <c r="M116" s="6">
        <f t="shared" si="9"/>
        <v>1.8610911871486755E-3</v>
      </c>
    </row>
    <row r="117" spans="1:13">
      <c r="A117" t="s">
        <v>34</v>
      </c>
      <c r="B117" s="6">
        <f t="shared" si="11"/>
        <v>1.8490609050266593E-3</v>
      </c>
      <c r="C117" s="6">
        <f t="shared" si="12"/>
        <v>3.0879968555004174E-3</v>
      </c>
      <c r="D117" s="6">
        <f t="shared" si="13"/>
        <v>2.9415196113718898E-3</v>
      </c>
      <c r="E117" s="6">
        <f t="shared" si="14"/>
        <v>2.6104832657145656E-4</v>
      </c>
      <c r="F117" s="6">
        <f t="shared" si="10"/>
        <v>6.272812171309778E-3</v>
      </c>
      <c r="H117" s="1" t="s">
        <v>34</v>
      </c>
      <c r="I117" s="6">
        <f t="shared" si="5"/>
        <v>2.3160242363748371E-3</v>
      </c>
      <c r="J117" s="6">
        <f t="shared" si="6"/>
        <v>3.1557770443518167E-3</v>
      </c>
      <c r="K117" s="6">
        <f t="shared" si="7"/>
        <v>2.0411925832279814E-3</v>
      </c>
      <c r="L117" s="6">
        <f t="shared" si="8"/>
        <v>3.8243734246963959E-3</v>
      </c>
      <c r="M117" s="6">
        <f t="shared" si="9"/>
        <v>8.9231265068045167E-3</v>
      </c>
    </row>
    <row r="118" spans="1:13">
      <c r="A118" t="s">
        <v>35</v>
      </c>
      <c r="B118" s="6">
        <f t="shared" si="11"/>
        <v>3.2396560240124622E-3</v>
      </c>
      <c r="C118" s="6">
        <f t="shared" si="12"/>
        <v>2.3927676509605464E-3</v>
      </c>
      <c r="D118" s="6">
        <f t="shared" si="13"/>
        <v>2.5815868319213212E-3</v>
      </c>
      <c r="E118" s="6">
        <f t="shared" si="14"/>
        <v>1.9107287236549667E-3</v>
      </c>
      <c r="F118" s="6">
        <f t="shared" si="10"/>
        <v>9.7953252523485016E-4</v>
      </c>
      <c r="H118" s="1" t="s">
        <v>35</v>
      </c>
      <c r="I118" s="6">
        <f t="shared" si="5"/>
        <v>3.110906628612127E-2</v>
      </c>
      <c r="J118" s="6">
        <f t="shared" si="6"/>
        <v>3.1426279733336837E-2</v>
      </c>
      <c r="K118" s="6">
        <f t="shared" si="7"/>
        <v>3.1884745048461866E-2</v>
      </c>
      <c r="L118" s="6">
        <f t="shared" si="8"/>
        <v>2.0725812611157787E-2</v>
      </c>
      <c r="M118" s="6">
        <f t="shared" si="9"/>
        <v>6.445884587068418E-4</v>
      </c>
    </row>
    <row r="119" spans="1:13">
      <c r="A119" t="s">
        <v>36</v>
      </c>
      <c r="B119" s="6">
        <f t="shared" si="11"/>
        <v>0.49575602527894225</v>
      </c>
      <c r="C119" s="6">
        <f t="shared" si="12"/>
        <v>0.49220262369183904</v>
      </c>
      <c r="D119" s="6">
        <f t="shared" si="13"/>
        <v>0.48985858365210139</v>
      </c>
      <c r="E119" s="6">
        <f t="shared" si="14"/>
        <v>0.38425044686397569</v>
      </c>
      <c r="F119" s="6">
        <f t="shared" si="10"/>
        <v>0.50038325398802874</v>
      </c>
      <c r="H119" s="1" t="s">
        <v>36</v>
      </c>
      <c r="I119" s="6">
        <f t="shared" si="5"/>
        <v>0.49539264538835648</v>
      </c>
      <c r="J119" s="6">
        <f t="shared" si="6"/>
        <v>0.49852598913886736</v>
      </c>
      <c r="K119" s="6">
        <f t="shared" si="7"/>
        <v>0.5002317741255794</v>
      </c>
      <c r="L119" s="6">
        <f t="shared" si="8"/>
        <v>0.51255060066121838</v>
      </c>
      <c r="M119" s="6">
        <f t="shared" si="9"/>
        <v>0.41166136355736993</v>
      </c>
    </row>
    <row r="120" spans="1:13">
      <c r="A120" t="s">
        <v>37</v>
      </c>
      <c r="B120" s="6">
        <f t="shared" si="11"/>
        <v>0.16067072784609734</v>
      </c>
      <c r="C120" s="6">
        <f t="shared" si="12"/>
        <v>0.1666928708298531</v>
      </c>
      <c r="D120" s="6">
        <f t="shared" si="13"/>
        <v>0.16853542110894049</v>
      </c>
      <c r="E120" s="6">
        <f t="shared" si="14"/>
        <v>0.16812237365442279</v>
      </c>
      <c r="F120" s="6">
        <f t="shared" si="10"/>
        <v>0.25726328122473902</v>
      </c>
      <c r="H120" s="1" t="s">
        <v>37</v>
      </c>
      <c r="I120" s="6">
        <f t="shared" si="5"/>
        <v>5.9371840160536093E-2</v>
      </c>
      <c r="J120" s="6">
        <f t="shared" si="6"/>
        <v>6.0072845853440457E-2</v>
      </c>
      <c r="K120" s="6">
        <f t="shared" si="7"/>
        <v>7.5513590391908969E-2</v>
      </c>
      <c r="L120" s="6">
        <f t="shared" si="8"/>
        <v>7.8023219020393025E-2</v>
      </c>
      <c r="M120" s="6">
        <f t="shared" si="9"/>
        <v>7.8276421017375447E-2</v>
      </c>
    </row>
    <row r="121" spans="1:13">
      <c r="A121" t="s">
        <v>38</v>
      </c>
      <c r="B121" s="6">
        <f t="shared" si="11"/>
        <v>0.33508529743284488</v>
      </c>
      <c r="C121" s="6">
        <f t="shared" si="12"/>
        <v>0.32550975286198597</v>
      </c>
      <c r="D121" s="6">
        <f t="shared" si="13"/>
        <v>0.3213231625431609</v>
      </c>
      <c r="E121" s="6">
        <f t="shared" si="14"/>
        <v>0.21612807320955291</v>
      </c>
      <c r="F121" s="6">
        <f t="shared" si="10"/>
        <v>0.24311997276328978</v>
      </c>
      <c r="H121" s="1" t="s">
        <v>38</v>
      </c>
      <c r="I121" s="6">
        <f t="shared" si="5"/>
        <v>0.43602080522782038</v>
      </c>
      <c r="J121" s="6">
        <f t="shared" si="6"/>
        <v>0.43845314328542689</v>
      </c>
      <c r="K121" s="6">
        <f t="shared" si="7"/>
        <v>0.42471818373367048</v>
      </c>
      <c r="L121" s="6">
        <f t="shared" si="8"/>
        <v>0.43452738164082533</v>
      </c>
      <c r="M121" s="6">
        <f t="shared" si="9"/>
        <v>0.33338494253999451</v>
      </c>
    </row>
    <row r="122" spans="1:13">
      <c r="A122" t="s">
        <v>39</v>
      </c>
      <c r="B122" s="6">
        <f t="shared" si="11"/>
        <v>5.359996960447827E-2</v>
      </c>
      <c r="C122" s="6">
        <f t="shared" si="12"/>
        <v>5.6362698373704119E-2</v>
      </c>
      <c r="D122" s="6">
        <f t="shared" si="13"/>
        <v>5.6499517193616532E-2</v>
      </c>
      <c r="E122" s="6">
        <f t="shared" si="14"/>
        <v>4.206685012562951E-2</v>
      </c>
      <c r="F122" s="6">
        <f t="shared" si="10"/>
        <v>0.10089945811880303</v>
      </c>
      <c r="H122" s="1" t="s">
        <v>39</v>
      </c>
      <c r="I122" s="6">
        <f t="shared" si="5"/>
        <v>2.5582840105949661E-2</v>
      </c>
      <c r="J122" s="6">
        <f t="shared" si="6"/>
        <v>2.4959566606619243E-2</v>
      </c>
      <c r="K122" s="6">
        <f t="shared" si="7"/>
        <v>1.8457648546144123E-2</v>
      </c>
      <c r="L122" s="6">
        <f t="shared" si="8"/>
        <v>1.8442645309823348E-2</v>
      </c>
      <c r="M122" s="6">
        <f t="shared" si="9"/>
        <v>4.1376891503755363E-2</v>
      </c>
    </row>
    <row r="123" spans="1:13">
      <c r="A123" t="s">
        <v>40</v>
      </c>
      <c r="B123" s="6">
        <f t="shared" si="11"/>
        <v>2.9427930951506479E-2</v>
      </c>
      <c r="C123" s="6">
        <f t="shared" si="12"/>
        <v>2.9455117181742249E-2</v>
      </c>
      <c r="D123" s="6">
        <f t="shared" si="13"/>
        <v>3.3493606849148448E-2</v>
      </c>
      <c r="E123" s="6">
        <f t="shared" si="14"/>
        <v>2.274383545253815E-2</v>
      </c>
      <c r="F123" s="6">
        <f t="shared" si="10"/>
        <v>3.5173776677996274E-2</v>
      </c>
      <c r="H123" s="1" t="s">
        <v>40</v>
      </c>
      <c r="I123" s="6">
        <f t="shared" si="5"/>
        <v>1.4920290815703216E-2</v>
      </c>
      <c r="J123" s="6">
        <f t="shared" si="6"/>
        <v>1.4187847628565042E-2</v>
      </c>
      <c r="K123" s="6">
        <f t="shared" si="7"/>
        <v>1.3442899283607248E-2</v>
      </c>
      <c r="L123" s="6">
        <f t="shared" si="8"/>
        <v>1.2796102521576886E-2</v>
      </c>
      <c r="M123" s="6">
        <f t="shared" si="9"/>
        <v>1.4351572448267036E-2</v>
      </c>
    </row>
    <row r="124" spans="1:13">
      <c r="A124" t="s">
        <v>41</v>
      </c>
      <c r="B124" s="6">
        <f t="shared" si="11"/>
        <v>2.4172038652971795E-2</v>
      </c>
      <c r="C124" s="6">
        <f t="shared" si="12"/>
        <v>2.6907581191961873E-2</v>
      </c>
      <c r="D124" s="6">
        <f t="shared" si="13"/>
        <v>2.300591034446808E-2</v>
      </c>
      <c r="E124" s="6">
        <f t="shared" si="14"/>
        <v>1.9323014673091356E-2</v>
      </c>
      <c r="F124" s="6">
        <f t="shared" si="10"/>
        <v>6.572568144080676E-2</v>
      </c>
      <c r="H124" s="1" t="s">
        <v>41</v>
      </c>
      <c r="I124" s="6">
        <f t="shared" si="5"/>
        <v>1.0662549290246445E-2</v>
      </c>
      <c r="J124" s="6">
        <f t="shared" si="6"/>
        <v>1.07717189780542E-2</v>
      </c>
      <c r="K124" s="6">
        <f t="shared" si="7"/>
        <v>5.0147492625368731E-3</v>
      </c>
      <c r="L124" s="6">
        <f t="shared" si="8"/>
        <v>5.6465427882464621E-3</v>
      </c>
      <c r="M124" s="6">
        <f t="shared" si="9"/>
        <v>2.7025319055488325E-2</v>
      </c>
    </row>
    <row r="125" spans="1:13">
      <c r="A125" t="s">
        <v>42</v>
      </c>
      <c r="B125" s="6">
        <f t="shared" si="11"/>
        <v>1</v>
      </c>
      <c r="C125" s="6">
        <f t="shared" si="12"/>
        <v>1</v>
      </c>
      <c r="D125" s="6">
        <f t="shared" si="13"/>
        <v>1</v>
      </c>
      <c r="E125" s="6">
        <f t="shared" si="14"/>
        <v>1</v>
      </c>
      <c r="F125" s="6">
        <f t="shared" si="10"/>
        <v>1</v>
      </c>
      <c r="H125" s="1" t="s">
        <v>42</v>
      </c>
      <c r="I125" s="6">
        <f t="shared" si="5"/>
        <v>1</v>
      </c>
      <c r="J125" s="6">
        <f t="shared" si="6"/>
        <v>1</v>
      </c>
      <c r="K125" s="6">
        <f t="shared" si="7"/>
        <v>1</v>
      </c>
      <c r="L125" s="6">
        <f t="shared" si="8"/>
        <v>1</v>
      </c>
      <c r="M125" s="6">
        <f t="shared" si="9"/>
        <v>1</v>
      </c>
    </row>
    <row r="126" spans="1:13">
      <c r="B126" s="6"/>
      <c r="C126" s="6"/>
      <c r="D126" s="6"/>
      <c r="E126" s="6"/>
      <c r="F126" s="6"/>
      <c r="H126" s="1"/>
      <c r="I126" s="6"/>
      <c r="J126" s="6"/>
      <c r="K126" s="6"/>
      <c r="L126" s="6"/>
      <c r="M126" s="6"/>
    </row>
    <row r="127" spans="1:13">
      <c r="B127" s="6"/>
      <c r="C127" s="6"/>
      <c r="D127" s="6"/>
      <c r="E127" s="6"/>
      <c r="F127" s="6"/>
      <c r="H127" s="1"/>
      <c r="I127" s="6"/>
      <c r="J127" s="6"/>
      <c r="K127" s="6"/>
      <c r="L127" s="6"/>
      <c r="M127" s="6"/>
    </row>
    <row r="128" spans="1:13">
      <c r="B128" s="6"/>
      <c r="C128" s="6"/>
      <c r="D128" s="6"/>
      <c r="E128" s="6"/>
      <c r="F128" s="6"/>
      <c r="H128" s="1"/>
      <c r="I128" s="6"/>
      <c r="J128" s="6"/>
      <c r="K128" s="6"/>
      <c r="L128" s="6"/>
      <c r="M128" s="6"/>
    </row>
    <row r="129" spans="1:13">
      <c r="B129" s="6"/>
      <c r="C129" s="6"/>
      <c r="D129" s="6"/>
      <c r="E129" s="6"/>
      <c r="F129" s="6"/>
      <c r="I129" s="6"/>
      <c r="J129" s="6"/>
      <c r="K129" s="6"/>
      <c r="L129" s="6"/>
      <c r="M129" s="6"/>
    </row>
    <row r="130" spans="1:13">
      <c r="A130" t="s">
        <v>45</v>
      </c>
      <c r="B130" s="6"/>
      <c r="C130" s="6"/>
      <c r="D130" s="6"/>
      <c r="E130" s="6"/>
      <c r="F130" s="6"/>
      <c r="H130" t="s">
        <v>46</v>
      </c>
      <c r="I130" s="6"/>
      <c r="J130" s="6"/>
      <c r="K130" s="6"/>
      <c r="L130" s="6"/>
      <c r="M130" s="6"/>
    </row>
    <row r="131" spans="1:13">
      <c r="A131" s="4" t="s">
        <v>47</v>
      </c>
      <c r="B131" s="6"/>
      <c r="C131" s="6"/>
      <c r="D131" s="6"/>
      <c r="E131" s="6"/>
      <c r="F131" s="6"/>
      <c r="H131" s="4" t="s">
        <v>47</v>
      </c>
      <c r="I131" s="6"/>
      <c r="J131" s="6"/>
      <c r="K131" s="6"/>
      <c r="L131" s="6"/>
      <c r="M131" s="6"/>
    </row>
    <row r="132" spans="1:13">
      <c r="A132" s="4" t="s">
        <v>48</v>
      </c>
      <c r="B132" s="6">
        <f>B46/$B$39</f>
        <v>2.1839182360465559E-2</v>
      </c>
      <c r="C132" s="6">
        <f>C46/$C$39</f>
        <v>3.1938780523755712E-2</v>
      </c>
      <c r="D132" s="6">
        <f>D46/$D$39</f>
        <v>2.7662695822049235E-2</v>
      </c>
      <c r="E132" s="6">
        <f>E46/$E$39</f>
        <v>5.3039944019636638E-2</v>
      </c>
      <c r="F132" s="6">
        <f>F46/$F$39</f>
        <v>1.3327348357904067E-2</v>
      </c>
      <c r="H132" s="4" t="s">
        <v>48</v>
      </c>
      <c r="I132" s="6">
        <f>I46/$I$39</f>
        <v>7.0307321599850273E-2</v>
      </c>
      <c r="J132" s="6">
        <f>J46/$J$39</f>
        <v>4.5335367056317473E-2</v>
      </c>
      <c r="K132" s="6">
        <f>K46/$K$39</f>
        <v>3.7128634639696588E-2</v>
      </c>
      <c r="L132" s="6">
        <f>L46/$L$39</f>
        <v>3.0829578064135998E-2</v>
      </c>
      <c r="M132" s="6">
        <f>M46/$M$39</f>
        <v>2.9619471627048703E-2</v>
      </c>
    </row>
    <row r="133" spans="1:13">
      <c r="A133" s="4" t="s">
        <v>49</v>
      </c>
      <c r="B133" s="6">
        <f>B47/$B$39</f>
        <v>8.9489481883002573E-3</v>
      </c>
      <c r="C133" s="6">
        <f>C47/$C$39</f>
        <v>1.3794035277354689E-2</v>
      </c>
      <c r="D133" s="6">
        <f>D47/$D$39</f>
        <v>1.975906844432088E-2</v>
      </c>
      <c r="E133" s="6">
        <f>E47/$E$39</f>
        <v>2.4241237659121645E-2</v>
      </c>
      <c r="F133" s="6">
        <f>F47/$F$39</f>
        <v>6.7273913432148828E-3</v>
      </c>
      <c r="H133" s="4" t="s">
        <v>49</v>
      </c>
      <c r="I133" s="6">
        <f>I47/$I$39</f>
        <v>1.147614702984838E-2</v>
      </c>
      <c r="J133" s="6">
        <f>J47/$J$39</f>
        <v>1.1218787392670708E-2</v>
      </c>
      <c r="K133" s="6">
        <f>K47/$K$39</f>
        <v>1.0888116308470291E-2</v>
      </c>
      <c r="L133" s="6">
        <f>L47/$L$39</f>
        <v>1.0526574212484588E-2</v>
      </c>
      <c r="M133" s="6">
        <f>M47/$M$39</f>
        <v>1.2022838653821241E-2</v>
      </c>
    </row>
    <row r="134" spans="1:13">
      <c r="A134" s="4" t="s">
        <v>50</v>
      </c>
      <c r="B134" s="6">
        <f>B48/$B$39</f>
        <v>1.2890234172165302E-2</v>
      </c>
      <c r="C134" s="6">
        <f>C48/$C$39</f>
        <v>1.8144745246401021E-2</v>
      </c>
      <c r="D134" s="6">
        <f>D48/$D$39</f>
        <v>7.9036273777283519E-3</v>
      </c>
      <c r="E134" s="6">
        <f>E48/$E$39</f>
        <v>2.879870636051499E-2</v>
      </c>
      <c r="F134" s="6">
        <f>F48/$F$39</f>
        <v>6.5999570146891839E-3</v>
      </c>
      <c r="H134" s="4" t="s">
        <v>50</v>
      </c>
      <c r="I134" s="6">
        <f>I48/$I$39</f>
        <v>5.88311745700019E-2</v>
      </c>
      <c r="J134" s="6">
        <f>J48/$J$39</f>
        <v>3.4116579663646764E-2</v>
      </c>
      <c r="K134" s="6">
        <f>K48/$K$39</f>
        <v>2.6240518331226297E-2</v>
      </c>
      <c r="L134" s="6">
        <f>L48/$L$39</f>
        <v>2.0303003851651409E-2</v>
      </c>
      <c r="M134" s="6">
        <f>M48/$M$39</f>
        <v>1.7596632973227461E-2</v>
      </c>
    </row>
    <row r="135" spans="1:13">
      <c r="A135" s="4" t="s">
        <v>51</v>
      </c>
      <c r="B135" s="6">
        <f>B49/$B$39</f>
        <v>6.0537747438544051E-2</v>
      </c>
      <c r="C135" s="6">
        <f>C49/$C$39</f>
        <v>5.8431189505232642E-2</v>
      </c>
      <c r="D135" s="6">
        <f>D49/$D$39</f>
        <v>6.8397157275730855E-2</v>
      </c>
      <c r="E135" s="6">
        <f>E49/$E$39</f>
        <v>4.7347640231897928E-2</v>
      </c>
      <c r="F135" s="6">
        <f>F49/$F$39</f>
        <v>5.3824836760429165E-2</v>
      </c>
      <c r="H135" s="4" t="s">
        <v>51</v>
      </c>
      <c r="I135" s="6">
        <f>I49/$I$39</f>
        <v>2.709826337172579E-2</v>
      </c>
      <c r="J135" s="6">
        <f>J49/$J$39</f>
        <v>2.6353368134541293E-2</v>
      </c>
      <c r="K135" s="6">
        <f>K49/$K$39</f>
        <v>2.3045722713864306E-2</v>
      </c>
      <c r="L135" s="6">
        <f>L49/$L$39</f>
        <v>2.1931499525363069E-2</v>
      </c>
      <c r="M135" s="6">
        <f>M49/$M$39</f>
        <v>2.106603555979664E-2</v>
      </c>
    </row>
    <row r="136" spans="1:13">
      <c r="A136" s="4" t="s">
        <v>52</v>
      </c>
      <c r="B136" s="6"/>
      <c r="C136" s="6"/>
      <c r="D136" s="6"/>
      <c r="E136" s="6"/>
      <c r="F136" s="6"/>
      <c r="H136" s="4" t="s">
        <v>52</v>
      </c>
      <c r="I136" s="6"/>
      <c r="J136" s="6"/>
      <c r="K136" s="6"/>
      <c r="L136" s="6"/>
      <c r="M136" s="6"/>
    </row>
    <row r="137" spans="1:13">
      <c r="A137" s="4" t="s">
        <v>53</v>
      </c>
      <c r="B137" s="6">
        <f t="shared" ref="B137:B142" si="15">B51/$B$39</f>
        <v>3.295381147177649E-3</v>
      </c>
      <c r="C137" s="6">
        <f t="shared" ref="C137:C142" si="16">C51/$C$39</f>
        <v>2.5106863852994645E-3</v>
      </c>
      <c r="D137" s="6">
        <f t="shared" ref="D137:D142" si="17">D51/$D$39</f>
        <v>1.9808714344934754E-3</v>
      </c>
      <c r="E137" s="6">
        <f t="shared" ref="E137:E142" si="18">E51/$E$39</f>
        <v>2.0811352701668897E-3</v>
      </c>
      <c r="F137" s="6">
        <f t="shared" ref="F137:F142" si="19">F51/$F$39</f>
        <v>1.9381429965326452E-3</v>
      </c>
      <c r="H137" s="4" t="s">
        <v>53</v>
      </c>
      <c r="I137" s="6">
        <f t="shared" ref="I137:I142" si="20">I51/$I$39</f>
        <v>4.9439709288270932E-3</v>
      </c>
      <c r="J137" s="6">
        <f t="shared" ref="J137:J142" si="21">J51/$J$39</f>
        <v>6.8690746998724536E-3</v>
      </c>
      <c r="K137" s="6">
        <f t="shared" ref="K137:K142" si="22">K51/$K$39</f>
        <v>4.9410029498525073E-3</v>
      </c>
      <c r="L137" s="6">
        <f t="shared" ref="L137:L142" si="23">L51/$L$39</f>
        <v>4.4299446802474659E-3</v>
      </c>
      <c r="M137" s="6">
        <f t="shared" ref="M137:M142" si="24">M51/$M$39</f>
        <v>4.5247582003343015E-3</v>
      </c>
    </row>
    <row r="138" spans="1:13">
      <c r="A138" s="4" t="s">
        <v>54</v>
      </c>
      <c r="B138" s="6">
        <f t="shared" si="15"/>
        <v>3.3052596917387503E-2</v>
      </c>
      <c r="C138" s="6">
        <f t="shared" si="16"/>
        <v>3.2719992138751042E-2</v>
      </c>
      <c r="D138" s="6">
        <f t="shared" si="17"/>
        <v>4.13972342268768E-2</v>
      </c>
      <c r="E138" s="6">
        <f t="shared" si="18"/>
        <v>9.0108806392783458E-2</v>
      </c>
      <c r="F138" s="6">
        <f t="shared" si="19"/>
        <v>5.1569058945033962E-2</v>
      </c>
      <c r="H138" s="4" t="s">
        <v>54</v>
      </c>
      <c r="I138" s="6">
        <f t="shared" si="20"/>
        <v>6.6013189121184479E-2</v>
      </c>
      <c r="J138" s="6">
        <f t="shared" si="21"/>
        <v>6.1408791468882722E-2</v>
      </c>
      <c r="K138" s="6">
        <f t="shared" si="22"/>
        <v>6.7024863042562152E-2</v>
      </c>
      <c r="L138" s="6">
        <f t="shared" si="23"/>
        <v>7.1451952558129389E-2</v>
      </c>
      <c r="M138" s="6">
        <f t="shared" si="24"/>
        <v>7.0105314379062256E-2</v>
      </c>
    </row>
    <row r="139" spans="1:13">
      <c r="A139" s="4" t="s">
        <v>55</v>
      </c>
      <c r="B139" s="6">
        <f t="shared" si="15"/>
        <v>5.1343102116288199E-3</v>
      </c>
      <c r="C139" s="6">
        <f t="shared" si="16"/>
        <v>4.9624134034294701E-3</v>
      </c>
      <c r="D139" s="6">
        <f t="shared" si="17"/>
        <v>4.9993421918168666E-3</v>
      </c>
      <c r="E139" s="6">
        <f t="shared" si="18"/>
        <v>6.7963206688638235E-3</v>
      </c>
      <c r="F139" s="6">
        <f t="shared" si="19"/>
        <v>7.1154003435020853E-3</v>
      </c>
      <c r="H139" s="4" t="s">
        <v>55</v>
      </c>
      <c r="I139" s="6">
        <f t="shared" si="20"/>
        <v>7.4809402382567695E-3</v>
      </c>
      <c r="J139" s="6">
        <f t="shared" si="21"/>
        <v>7.4187058684303956E-3</v>
      </c>
      <c r="K139" s="6">
        <f t="shared" si="22"/>
        <v>7.2798145806995361E-3</v>
      </c>
      <c r="L139" s="6">
        <f t="shared" si="23"/>
        <v>7.3896059967921094E-3</v>
      </c>
      <c r="M139" s="6">
        <f t="shared" si="24"/>
        <v>8.2722185534044694E-3</v>
      </c>
    </row>
    <row r="140" spans="1:13">
      <c r="A140" s="4" t="s">
        <v>56</v>
      </c>
      <c r="B140" s="6">
        <f t="shared" si="15"/>
        <v>6.5477019719094717E-3</v>
      </c>
      <c r="C140" s="6">
        <f t="shared" si="16"/>
        <v>5.721515255736255E-3</v>
      </c>
      <c r="D140" s="6">
        <f t="shared" si="17"/>
        <v>6.8958155952667599E-3</v>
      </c>
      <c r="E140" s="6">
        <f t="shared" si="18"/>
        <v>6.0113628535482634E-3</v>
      </c>
      <c r="F140" s="6">
        <f t="shared" si="19"/>
        <v>8.3745275895321259E-3</v>
      </c>
      <c r="H140" s="4" t="s">
        <v>56</v>
      </c>
      <c r="I140" s="6">
        <f t="shared" si="20"/>
        <v>1.1530733459661928E-2</v>
      </c>
      <c r="J140" s="6">
        <f t="shared" si="21"/>
        <v>1.0677045666723646E-2</v>
      </c>
      <c r="K140" s="6">
        <f t="shared" si="22"/>
        <v>1.0403497682258744E-2</v>
      </c>
      <c r="L140" s="6">
        <f t="shared" si="23"/>
        <v>1.2234176041200667E-2</v>
      </c>
      <c r="M140" s="6">
        <f t="shared" si="24"/>
        <v>1.5978842331767152E-2</v>
      </c>
    </row>
    <row r="141" spans="1:13">
      <c r="A141" s="4" t="s">
        <v>57</v>
      </c>
      <c r="B141" s="6">
        <f t="shared" si="15"/>
        <v>2.1370584733849212E-2</v>
      </c>
      <c r="C141" s="6">
        <f t="shared" si="16"/>
        <v>2.2036063479585317E-2</v>
      </c>
      <c r="D141" s="6">
        <f t="shared" si="17"/>
        <v>2.9502076439793176E-2</v>
      </c>
      <c r="E141" s="6">
        <f t="shared" si="18"/>
        <v>7.7301122870371372E-2</v>
      </c>
      <c r="F141" s="6">
        <f t="shared" si="19"/>
        <v>3.6079131011999749E-2</v>
      </c>
      <c r="H141" s="4" t="s">
        <v>57</v>
      </c>
      <c r="I141" s="6">
        <f t="shared" si="20"/>
        <v>4.7001515423265777E-2</v>
      </c>
      <c r="J141" s="6">
        <f t="shared" si="21"/>
        <v>4.3313039933728682E-2</v>
      </c>
      <c r="K141" s="6">
        <f t="shared" si="22"/>
        <v>4.9341550779603879E-2</v>
      </c>
      <c r="L141" s="6">
        <f t="shared" si="23"/>
        <v>5.1828170520136607E-2</v>
      </c>
      <c r="M141" s="6">
        <f t="shared" si="24"/>
        <v>4.5854253493890627E-2</v>
      </c>
    </row>
    <row r="142" spans="1:13">
      <c r="A142" s="4" t="s">
        <v>58</v>
      </c>
      <c r="B142" s="6">
        <f t="shared" si="15"/>
        <v>0.11872490786357477</v>
      </c>
      <c r="C142" s="6">
        <f t="shared" si="16"/>
        <v>0.12560064855303887</v>
      </c>
      <c r="D142" s="6">
        <f t="shared" si="17"/>
        <v>0.13943795875915035</v>
      </c>
      <c r="E142" s="6">
        <f t="shared" si="18"/>
        <v>0.19257752591448493</v>
      </c>
      <c r="F142" s="6">
        <f t="shared" si="19"/>
        <v>0.12065938705989984</v>
      </c>
      <c r="H142" s="4" t="s">
        <v>58</v>
      </c>
      <c r="I142" s="6">
        <f t="shared" si="20"/>
        <v>0.16836274502158763</v>
      </c>
      <c r="J142" s="6">
        <f t="shared" si="21"/>
        <v>0.13996660135961395</v>
      </c>
      <c r="K142" s="6">
        <f t="shared" si="22"/>
        <v>0.13214022334597555</v>
      </c>
      <c r="L142" s="6">
        <f t="shared" si="23"/>
        <v>0.12864297482787593</v>
      </c>
      <c r="M142" s="6">
        <f t="shared" si="24"/>
        <v>0.12531557976624189</v>
      </c>
    </row>
    <row r="143" spans="1:13">
      <c r="A143" s="4" t="s">
        <v>62</v>
      </c>
      <c r="B143" s="6">
        <f t="shared" ref="B143:B153" si="25">B60/$B$39</f>
        <v>0.34406210818272775</v>
      </c>
      <c r="C143" s="6">
        <f t="shared" ref="C143:C153" si="26">C60/$C$39</f>
        <v>0.35724954552154475</v>
      </c>
      <c r="D143" s="6">
        <f t="shared" ref="D143:D153" si="27">D60/$D$39</f>
        <v>0.36510091770447284</v>
      </c>
      <c r="E143" s="6">
        <f t="shared" ref="E143:E153" si="28">E60/$E$39</f>
        <v>0.30812222862757466</v>
      </c>
      <c r="F143" s="6">
        <f t="shared" ref="F143:F153" si="29">F60/$F$39</f>
        <v>0.3347091168801033</v>
      </c>
      <c r="H143" s="4" t="s">
        <v>62</v>
      </c>
      <c r="I143" s="6">
        <f t="shared" ref="I143:I150" si="30">I60/$I$39</f>
        <v>0.36731208621536687</v>
      </c>
      <c r="J143" s="6">
        <f t="shared" ref="J143:J150" si="31">J60/$J$39</f>
        <v>0.4147295893545121</v>
      </c>
      <c r="K143" s="6">
        <f t="shared" ref="K143:K150" si="32">K60/$K$39</f>
        <v>0.42729140328697851</v>
      </c>
      <c r="L143" s="6">
        <f t="shared" ref="L143:L150" si="33">L60/$L$39</f>
        <v>0.4545275998647012</v>
      </c>
      <c r="M143" s="6">
        <f t="shared" ref="M143:M150" si="34">M60/$M$39</f>
        <v>0.44607101216186756</v>
      </c>
    </row>
    <row r="144" spans="1:13">
      <c r="A144" s="4" t="s">
        <v>63</v>
      </c>
      <c r="B144" s="6">
        <f t="shared" si="25"/>
        <v>0.2968781266226776</v>
      </c>
      <c r="C144" s="6">
        <f t="shared" si="26"/>
        <v>0.31002554905910679</v>
      </c>
      <c r="D144" s="6">
        <f t="shared" si="27"/>
        <v>0.31469543481120904</v>
      </c>
      <c r="E144" s="6">
        <f t="shared" si="28"/>
        <v>0.2711440080344874</v>
      </c>
      <c r="F144" s="6">
        <f t="shared" si="29"/>
        <v>0.28896780095899088</v>
      </c>
      <c r="H144" s="4" t="s">
        <v>63</v>
      </c>
      <c r="I144" s="6">
        <f t="shared" si="30"/>
        <v>0.3117301038961714</v>
      </c>
      <c r="J144" s="6">
        <f t="shared" si="31"/>
        <v>0.35860935424912233</v>
      </c>
      <c r="K144" s="6">
        <f t="shared" si="32"/>
        <v>0.3674383691529709</v>
      </c>
      <c r="L144" s="6">
        <f t="shared" si="33"/>
        <v>0.38871127890102458</v>
      </c>
      <c r="M144" s="6">
        <f t="shared" si="34"/>
        <v>0.386301231353541</v>
      </c>
    </row>
    <row r="145" spans="1:13">
      <c r="A145" s="4" t="s">
        <v>64</v>
      </c>
      <c r="B145" s="6">
        <f t="shared" si="25"/>
        <v>0.2968781266226776</v>
      </c>
      <c r="C145" s="6">
        <f t="shared" si="26"/>
        <v>0.31002554905910679</v>
      </c>
      <c r="D145" s="6">
        <f t="shared" si="27"/>
        <v>0.31469543481120904</v>
      </c>
      <c r="E145" s="6">
        <f t="shared" si="28"/>
        <v>0.2711440080344874</v>
      </c>
      <c r="F145" s="6">
        <f t="shared" si="29"/>
        <v>0.28896780095899088</v>
      </c>
      <c r="H145" s="4" t="s">
        <v>64</v>
      </c>
      <c r="I145" s="6">
        <f t="shared" si="30"/>
        <v>0.3117301038961714</v>
      </c>
      <c r="J145" s="6">
        <f t="shared" si="31"/>
        <v>0.35860935424912233</v>
      </c>
      <c r="K145" s="6">
        <f t="shared" si="32"/>
        <v>0.3674383691529709</v>
      </c>
      <c r="L145" s="6">
        <f t="shared" si="33"/>
        <v>0.38871127890102458</v>
      </c>
      <c r="M145" s="6">
        <f t="shared" si="34"/>
        <v>0.386301231353541</v>
      </c>
    </row>
    <row r="146" spans="1:13">
      <c r="A146" s="4" t="s">
        <v>65</v>
      </c>
      <c r="B146" s="6">
        <f t="shared" si="25"/>
        <v>3.1332716979698325E-3</v>
      </c>
      <c r="C146" s="6">
        <f t="shared" si="26"/>
        <v>4.0657396943939465E-3</v>
      </c>
      <c r="D146" s="6">
        <f t="shared" si="27"/>
        <v>4.0883399155523231E-3</v>
      </c>
      <c r="E146" s="6">
        <f t="shared" si="28"/>
        <v>2.6141089369169468E-3</v>
      </c>
      <c r="F146" s="6">
        <f t="shared" si="29"/>
        <v>3.5130030565218798E-3</v>
      </c>
      <c r="H146" s="4" t="s">
        <v>65</v>
      </c>
      <c r="I146" s="6">
        <f t="shared" si="30"/>
        <v>3.7820597799387073E-3</v>
      </c>
      <c r="J146" s="6">
        <f t="shared" si="31"/>
        <v>3.5186914044522755E-3</v>
      </c>
      <c r="K146" s="6">
        <f t="shared" si="32"/>
        <v>3.0736409608091023E-3</v>
      </c>
      <c r="L146" s="6">
        <f t="shared" si="33"/>
        <v>2.5232135647961242E-3</v>
      </c>
      <c r="M146" s="6">
        <f t="shared" si="34"/>
        <v>2.8943285694875837E-3</v>
      </c>
    </row>
    <row r="147" spans="1:13">
      <c r="A147" s="4" t="s">
        <v>66</v>
      </c>
      <c r="B147" s="6">
        <f t="shared" si="25"/>
        <v>2.2859965298446028E-2</v>
      </c>
      <c r="C147" s="6">
        <f t="shared" si="26"/>
        <v>2.1456296369085637E-2</v>
      </c>
      <c r="D147" s="6">
        <f t="shared" si="27"/>
        <v>1.8021461922835377E-2</v>
      </c>
      <c r="E147" s="6">
        <f t="shared" si="28"/>
        <v>2.276921515095482E-2</v>
      </c>
      <c r="F147" s="6">
        <f t="shared" si="29"/>
        <v>3.4761041613965281E-2</v>
      </c>
      <c r="H147" s="4" t="s">
        <v>66</v>
      </c>
      <c r="I147" s="6">
        <f t="shared" si="30"/>
        <v>3.1184447546339981E-2</v>
      </c>
      <c r="J147" s="6">
        <f t="shared" si="31"/>
        <v>3.4684619531630087E-2</v>
      </c>
      <c r="K147" s="6">
        <f t="shared" si="32"/>
        <v>3.41708807416772E-2</v>
      </c>
      <c r="L147" s="6">
        <f t="shared" si="33"/>
        <v>4.2035374090279215E-2</v>
      </c>
      <c r="M147" s="6">
        <f t="shared" si="34"/>
        <v>5.8951406245556608E-2</v>
      </c>
    </row>
    <row r="148" spans="1:13">
      <c r="A148" s="4" t="s">
        <v>67</v>
      </c>
      <c r="B148" s="6">
        <f t="shared" si="25"/>
        <v>0.14929013791967982</v>
      </c>
      <c r="C148" s="6">
        <f t="shared" si="26"/>
        <v>0.1441212597651452</v>
      </c>
      <c r="D148" s="6">
        <f t="shared" si="27"/>
        <v>0.14157025019051614</v>
      </c>
      <c r="E148" s="6">
        <f t="shared" si="28"/>
        <v>9.7470731769218777E-2</v>
      </c>
      <c r="F148" s="6">
        <f t="shared" si="29"/>
        <v>0.11501804051650845</v>
      </c>
      <c r="H148" s="4" t="s">
        <v>67</v>
      </c>
      <c r="I148" s="6">
        <f t="shared" si="30"/>
        <v>0.1214730018117496</v>
      </c>
      <c r="J148" s="6">
        <f t="shared" si="31"/>
        <v>0.12039552405622543</v>
      </c>
      <c r="K148" s="6">
        <f t="shared" si="32"/>
        <v>0.11441477033291192</v>
      </c>
      <c r="L148" s="6">
        <f t="shared" si="33"/>
        <v>0.11098047987430305</v>
      </c>
      <c r="M148" s="6">
        <f t="shared" si="34"/>
        <v>0.11283773749450994</v>
      </c>
    </row>
    <row r="149" spans="1:13">
      <c r="A149" s="4" t="s">
        <v>68</v>
      </c>
      <c r="B149" s="6">
        <f t="shared" si="25"/>
        <v>0.14929013791967982</v>
      </c>
      <c r="C149" s="6">
        <f t="shared" si="26"/>
        <v>0.1441212597651452</v>
      </c>
      <c r="D149" s="6">
        <f t="shared" si="27"/>
        <v>0.14157025019051614</v>
      </c>
      <c r="E149" s="6">
        <f t="shared" si="28"/>
        <v>9.7470731769218777E-2</v>
      </c>
      <c r="F149" s="6">
        <f t="shared" si="29"/>
        <v>0.11501804051650845</v>
      </c>
      <c r="H149" s="4" t="s">
        <v>68</v>
      </c>
      <c r="I149" s="6">
        <f t="shared" si="30"/>
        <v>0.1214730018117496</v>
      </c>
      <c r="J149" s="6">
        <f t="shared" si="31"/>
        <v>0.12039552405622543</v>
      </c>
      <c r="K149" s="6">
        <f t="shared" si="32"/>
        <v>0.11441477033291192</v>
      </c>
      <c r="L149" s="6">
        <f t="shared" si="33"/>
        <v>0.11098047987430305</v>
      </c>
      <c r="M149" s="6">
        <f t="shared" si="34"/>
        <v>0.11283773749450994</v>
      </c>
    </row>
    <row r="150" spans="1:13">
      <c r="A150" s="4" t="s">
        <v>69</v>
      </c>
      <c r="B150" s="6">
        <f t="shared" si="25"/>
        <v>6.0537747438544051E-2</v>
      </c>
      <c r="C150" s="6">
        <f t="shared" si="26"/>
        <v>5.82125485186459E-2</v>
      </c>
      <c r="D150" s="6">
        <f t="shared" si="27"/>
        <v>7.1611729340479033E-2</v>
      </c>
      <c r="E150" s="6">
        <f t="shared" si="28"/>
        <v>4.5761409080856096E-2</v>
      </c>
      <c r="F150" s="6">
        <f t="shared" si="29"/>
        <v>5.3937055049727921E-2</v>
      </c>
      <c r="H150" s="4" t="s">
        <v>69</v>
      </c>
      <c r="I150" s="6">
        <f t="shared" si="30"/>
        <v>5.0237710905068997E-2</v>
      </c>
      <c r="J150" s="6">
        <f t="shared" si="31"/>
        <v>4.3549723212055066E-2</v>
      </c>
      <c r="K150" s="6">
        <f t="shared" si="32"/>
        <v>4.84539612305099E-2</v>
      </c>
      <c r="L150" s="6">
        <f t="shared" si="33"/>
        <v>3.6860740433610845E-2</v>
      </c>
      <c r="M150" s="6">
        <f t="shared" si="34"/>
        <v>3.7942246137998806E-2</v>
      </c>
    </row>
    <row r="151" spans="1:13">
      <c r="A151" s="4" t="s">
        <v>70</v>
      </c>
      <c r="B151" s="6">
        <f t="shared" si="25"/>
        <v>6.0537747438544051E-2</v>
      </c>
      <c r="C151" s="6">
        <f t="shared" si="26"/>
        <v>5.82125485186459E-2</v>
      </c>
      <c r="D151" s="6">
        <f t="shared" si="27"/>
        <v>7.1611729340479033E-2</v>
      </c>
      <c r="E151" s="6">
        <f t="shared" si="28"/>
        <v>4.5761409080856096E-2</v>
      </c>
      <c r="F151" s="6">
        <f t="shared" si="29"/>
        <v>5.3937055049727921E-2</v>
      </c>
      <c r="H151" s="4" t="s">
        <v>70</v>
      </c>
      <c r="I151" s="6">
        <f t="shared" ref="I151:I153" si="35">I68/$I$39</f>
        <v>4.4555523496858679E-2</v>
      </c>
      <c r="J151" s="6">
        <f t="shared" ref="J151:J153" si="36">J68/$J$39</f>
        <v>3.8429474957594245E-2</v>
      </c>
      <c r="K151" s="6">
        <f t="shared" ref="K151:K153" si="37">K68/$K$39</f>
        <v>4.4105562579013907E-2</v>
      </c>
      <c r="L151" s="6">
        <f t="shared" ref="L151:L153" si="38">L68/$L$39</f>
        <v>3.3652849458259228E-2</v>
      </c>
      <c r="M151" s="6">
        <f t="shared" ref="M151:M153" si="39">M68/$M$39</f>
        <v>3.5556636891314171E-2</v>
      </c>
    </row>
    <row r="152" spans="1:13">
      <c r="A152" t="s">
        <v>71</v>
      </c>
      <c r="B152" s="6">
        <f t="shared" si="25"/>
        <v>0</v>
      </c>
      <c r="C152" s="6">
        <f t="shared" si="26"/>
        <v>0</v>
      </c>
      <c r="D152" s="6">
        <f t="shared" si="27"/>
        <v>0</v>
      </c>
      <c r="E152" s="6">
        <f t="shared" si="28"/>
        <v>0</v>
      </c>
      <c r="F152" s="6">
        <f t="shared" si="29"/>
        <v>0</v>
      </c>
      <c r="H152" s="4" t="s">
        <v>71</v>
      </c>
      <c r="I152" s="6">
        <f t="shared" si="35"/>
        <v>5.6821874082103188E-3</v>
      </c>
      <c r="J152" s="6">
        <f t="shared" si="36"/>
        <v>5.1202482544608222E-3</v>
      </c>
      <c r="K152" s="6">
        <f t="shared" si="37"/>
        <v>4.3483986514959968E-3</v>
      </c>
      <c r="L152" s="6">
        <f t="shared" si="38"/>
        <v>3.2078909753516134E-3</v>
      </c>
      <c r="M152" s="6">
        <f t="shared" si="39"/>
        <v>2.3856092466846353E-3</v>
      </c>
    </row>
    <row r="153" spans="1:13">
      <c r="A153" s="4" t="s">
        <v>72</v>
      </c>
      <c r="B153" s="6">
        <f t="shared" si="25"/>
        <v>0.69547486670297243</v>
      </c>
      <c r="C153" s="6">
        <f t="shared" si="26"/>
        <v>0.70664029872746037</v>
      </c>
      <c r="D153" s="6">
        <f t="shared" si="27"/>
        <v>0.73574231791745381</v>
      </c>
      <c r="E153" s="6">
        <f t="shared" si="28"/>
        <v>0.66670111054308934</v>
      </c>
      <c r="F153" s="6">
        <f t="shared" si="29"/>
        <v>0.65908464112020482</v>
      </c>
      <c r="H153" s="4" t="s">
        <v>72</v>
      </c>
      <c r="I153" s="6">
        <f t="shared" si="35"/>
        <v>0.73856999150011304</v>
      </c>
      <c r="J153" s="6">
        <f t="shared" si="36"/>
        <v>0.75332605751403658</v>
      </c>
      <c r="K153" s="6">
        <f t="shared" si="37"/>
        <v>0.75647123893805313</v>
      </c>
      <c r="L153" s="6">
        <f t="shared" si="38"/>
        <v>0.7730471690907702</v>
      </c>
      <c r="M153" s="6">
        <f t="shared" si="39"/>
        <v>0.78111798180617475</v>
      </c>
    </row>
    <row r="154" spans="1:13">
      <c r="A154" s="4" t="s">
        <v>74</v>
      </c>
      <c r="B154" s="6">
        <f t="shared" ref="B154:B162" si="40">B72/$B$39</f>
        <v>0.26437011613622258</v>
      </c>
      <c r="C154" s="6">
        <f t="shared" ref="C154:C162" si="41">C72/$C$39</f>
        <v>0.25376357293765045</v>
      </c>
      <c r="D154" s="6">
        <f t="shared" ref="D154:D162" si="42">D72/$D$39</f>
        <v>0.24202376549262386</v>
      </c>
      <c r="E154" s="6">
        <f t="shared" ref="E154:E162" si="43">E72/$E$39</f>
        <v>0.30153257121724658</v>
      </c>
      <c r="F154" s="6">
        <f t="shared" ref="F154:F162" si="44">F72/$F$39</f>
        <v>0.30750283874231826</v>
      </c>
      <c r="H154" s="4" t="s">
        <v>74</v>
      </c>
      <c r="I154" s="6">
        <f t="shared" ref="I154:I162" si="45">I72/$I$39</f>
        <v>0.2579520731146237</v>
      </c>
      <c r="J154" s="6">
        <f t="shared" ref="J154:J162" si="46">J72/$J$39</f>
        <v>0.24307372684119866</v>
      </c>
      <c r="K154" s="6">
        <f t="shared" ref="K154:K162" si="47">K72/$K$39</f>
        <v>0.24005478297513697</v>
      </c>
      <c r="L154" s="6">
        <f t="shared" ref="L154:L162" si="48">L72/$L$39</f>
        <v>0.22310663509694595</v>
      </c>
      <c r="M154" s="6">
        <f t="shared" ref="M154:M162" si="49">M72/$M$39</f>
        <v>0.21436357948818413</v>
      </c>
    </row>
    <row r="155" spans="1:13">
      <c r="A155" s="4" t="s">
        <v>75</v>
      </c>
      <c r="B155" s="6">
        <f t="shared" si="40"/>
        <v>1.9303689256449551E-2</v>
      </c>
      <c r="C155" s="6">
        <f t="shared" si="41"/>
        <v>1.8722055716601974E-2</v>
      </c>
      <c r="D155" s="6">
        <f t="shared" si="42"/>
        <v>1.8917570428915759E-2</v>
      </c>
      <c r="E155" s="6">
        <f t="shared" si="43"/>
        <v>1.38156201166741E-2</v>
      </c>
      <c r="F155" s="6">
        <f t="shared" si="44"/>
        <v>1.4495179368572413E-2</v>
      </c>
      <c r="H155" s="4" t="s">
        <v>75</v>
      </c>
      <c r="I155" s="6">
        <f t="shared" si="45"/>
        <v>1.1151227804767736E-3</v>
      </c>
      <c r="J155" s="6">
        <f t="shared" si="46"/>
        <v>1.1281902933557744E-3</v>
      </c>
      <c r="K155" s="6">
        <f t="shared" si="47"/>
        <v>1.1298988621997472E-3</v>
      </c>
      <c r="L155" s="6">
        <f t="shared" si="48"/>
        <v>1.170225534375716E-3</v>
      </c>
      <c r="M155" s="6">
        <f t="shared" si="49"/>
        <v>1.355531611692329E-3</v>
      </c>
    </row>
    <row r="156" spans="1:13">
      <c r="A156" s="4" t="s">
        <v>76</v>
      </c>
      <c r="B156" s="6">
        <f t="shared" si="40"/>
        <v>0.27636621537760103</v>
      </c>
      <c r="C156" s="6">
        <f t="shared" si="41"/>
        <v>0.28133199036997003</v>
      </c>
      <c r="D156" s="6">
        <f t="shared" si="42"/>
        <v>0.30683648874403319</v>
      </c>
      <c r="E156" s="6">
        <f t="shared" si="43"/>
        <v>0.23587166574212051</v>
      </c>
      <c r="F156" s="6">
        <f t="shared" si="44"/>
        <v>0.24759348829601283</v>
      </c>
      <c r="H156" s="4" t="s">
        <v>76</v>
      </c>
      <c r="I156" s="6">
        <f t="shared" si="45"/>
        <v>3.5002898279487722E-2</v>
      </c>
      <c r="J156" s="6">
        <f t="shared" si="46"/>
        <v>3.5846997409633007E-2</v>
      </c>
      <c r="K156" s="6">
        <f t="shared" si="47"/>
        <v>3.5345554150863885E-2</v>
      </c>
      <c r="L156" s="6">
        <f t="shared" si="48"/>
        <v>3.7810014293663867E-2</v>
      </c>
      <c r="M156" s="6">
        <f t="shared" si="49"/>
        <v>4.2353253433855431E-2</v>
      </c>
    </row>
    <row r="157" spans="1:13">
      <c r="A157" s="4" t="s">
        <v>77</v>
      </c>
      <c r="B157" s="6">
        <f t="shared" si="40"/>
        <v>4.7391684291847669E-3</v>
      </c>
      <c r="C157" s="6">
        <f t="shared" si="41"/>
        <v>-1.2320051098118213E-2</v>
      </c>
      <c r="D157" s="6">
        <f t="shared" si="42"/>
        <v>-4.8193758020915821E-2</v>
      </c>
      <c r="E157" s="6">
        <f t="shared" si="43"/>
        <v>7.677358771042489E-2</v>
      </c>
      <c r="F157" s="6">
        <f t="shared" si="44"/>
        <v>7.1243397665479186E-2</v>
      </c>
      <c r="H157" s="4" t="s">
        <v>77</v>
      </c>
      <c r="I157" s="6">
        <f t="shared" si="45"/>
        <v>0.23162841717549018</v>
      </c>
      <c r="J157" s="6">
        <f t="shared" si="46"/>
        <v>0.21805104469369238</v>
      </c>
      <c r="K157" s="6">
        <f t="shared" si="47"/>
        <v>0.21697218710493046</v>
      </c>
      <c r="L157" s="6">
        <f t="shared" si="48"/>
        <v>0.19638239369769447</v>
      </c>
      <c r="M157" s="6">
        <f t="shared" si="49"/>
        <v>0.19105096356495335</v>
      </c>
    </row>
    <row r="158" spans="1:13">
      <c r="B158" s="6">
        <f t="shared" si="40"/>
        <v>0</v>
      </c>
      <c r="C158" s="6">
        <f t="shared" si="41"/>
        <v>0</v>
      </c>
      <c r="D158" s="6">
        <f t="shared" si="42"/>
        <v>0</v>
      </c>
      <c r="E158" s="6">
        <f t="shared" si="43"/>
        <v>0</v>
      </c>
      <c r="F158" s="6">
        <f t="shared" si="44"/>
        <v>0</v>
      </c>
      <c r="H158" s="4" t="s">
        <v>78</v>
      </c>
      <c r="I158" s="6">
        <f t="shared" si="45"/>
        <v>1.9183231048761277E-3</v>
      </c>
      <c r="J158" s="6">
        <f t="shared" si="46"/>
        <v>1.7251581175789931E-3</v>
      </c>
      <c r="K158" s="6">
        <f t="shared" si="47"/>
        <v>2.0886009270965024E-3</v>
      </c>
      <c r="L158" s="6">
        <f t="shared" si="48"/>
        <v>1.4675555652543945E-3</v>
      </c>
      <c r="M158" s="6">
        <f t="shared" si="49"/>
        <v>1.0585153611117255E-3</v>
      </c>
    </row>
    <row r="159" spans="1:13">
      <c r="A159" s="4" t="s">
        <v>79</v>
      </c>
      <c r="B159" s="6">
        <f t="shared" si="40"/>
        <v>-4.4453450524955989E-3</v>
      </c>
      <c r="C159" s="6">
        <f t="shared" si="41"/>
        <v>-3.2845280793986145E-3</v>
      </c>
      <c r="D159" s="6">
        <f t="shared" si="42"/>
        <v>-4.4681310552484406E-3</v>
      </c>
      <c r="E159" s="6">
        <f t="shared" si="43"/>
        <v>-3.5604091207384766E-3</v>
      </c>
      <c r="F159" s="6">
        <f t="shared" si="44"/>
        <v>-7.4672712506252837E-3</v>
      </c>
      <c r="H159" s="4" t="s">
        <v>79</v>
      </c>
      <c r="I159" s="6">
        <f t="shared" si="45"/>
        <v>-1.9053263358729019E-3</v>
      </c>
      <c r="J159" s="6">
        <f t="shared" si="46"/>
        <v>-1.6725618335064628E-3</v>
      </c>
      <c r="K159" s="6">
        <f t="shared" si="47"/>
        <v>-1.8383902233459755E-3</v>
      </c>
      <c r="L159" s="6">
        <f t="shared" si="48"/>
        <v>-1.4866501543933921E-3</v>
      </c>
      <c r="M159" s="6">
        <f t="shared" si="49"/>
        <v>-1.2765379280272749E-3</v>
      </c>
    </row>
    <row r="160" spans="1:13">
      <c r="A160" s="4" t="s">
        <v>80</v>
      </c>
      <c r="B160" s="6">
        <f t="shared" si="40"/>
        <v>-1.1651616661811826E-4</v>
      </c>
      <c r="C160" s="6">
        <f t="shared" si="41"/>
        <v>-1.4002849702746524E-4</v>
      </c>
      <c r="D160" s="6">
        <f t="shared" si="42"/>
        <v>-2.2340655276242201E-4</v>
      </c>
      <c r="E160" s="6">
        <f t="shared" si="43"/>
        <v>8.1577602053580175E-5</v>
      </c>
      <c r="F160" s="6">
        <f t="shared" si="44"/>
        <v>2.1112254427391915E-4</v>
      </c>
      <c r="H160" s="4" t="s">
        <v>80</v>
      </c>
      <c r="I160" s="6">
        <f t="shared" si="45"/>
        <v>-1.2996769003225799E-5</v>
      </c>
      <c r="J160" s="6">
        <f t="shared" si="46"/>
        <v>-5.2596284072530272E-6</v>
      </c>
      <c r="K160" s="6">
        <f t="shared" si="47"/>
        <v>-2.370417193426043E-5</v>
      </c>
      <c r="L160" s="6">
        <f t="shared" si="48"/>
        <v>4.3644775174851877E-5</v>
      </c>
      <c r="M160" s="6">
        <f t="shared" si="49"/>
        <v>7.8993683665054142E-5</v>
      </c>
    </row>
    <row r="161" spans="1:13">
      <c r="A161" s="4" t="s">
        <v>81</v>
      </c>
      <c r="B161" s="6">
        <f t="shared" si="40"/>
        <v>6.5755645334920655E-3</v>
      </c>
      <c r="C161" s="6">
        <f t="shared" si="41"/>
        <v>9.0748292634992376E-3</v>
      </c>
      <c r="D161" s="6">
        <f t="shared" si="42"/>
        <v>1.1557565662909299E-2</v>
      </c>
      <c r="E161" s="6">
        <f t="shared" si="43"/>
        <v>9.8763283552867724E-3</v>
      </c>
      <c r="F161" s="6">
        <f t="shared" si="44"/>
        <v>1.549182993793758E-2</v>
      </c>
      <c r="H161" s="4" t="s">
        <v>81</v>
      </c>
      <c r="I161" s="6">
        <f t="shared" si="45"/>
        <v>-4.8088045311935453E-4</v>
      </c>
      <c r="J161" s="6">
        <f t="shared" si="46"/>
        <v>-1.9513221390908733E-3</v>
      </c>
      <c r="K161" s="6">
        <f t="shared" si="47"/>
        <v>-3.0499367888748418E-3</v>
      </c>
      <c r="L161" s="6">
        <f t="shared" si="48"/>
        <v>-1.0856637824744404E-3</v>
      </c>
      <c r="M161" s="6">
        <f t="shared" si="49"/>
        <v>9.7320218275346703E-4</v>
      </c>
    </row>
    <row r="162" spans="1:13">
      <c r="A162" s="4" t="s">
        <v>82</v>
      </c>
      <c r="B162" s="6">
        <f t="shared" si="40"/>
        <v>-3.8052660241391104E-2</v>
      </c>
      <c r="C162" s="6">
        <f t="shared" si="41"/>
        <v>-3.962069473787648E-2</v>
      </c>
      <c r="D162" s="6">
        <f t="shared" si="42"/>
        <v>-4.2402563714307701E-2</v>
      </c>
      <c r="E162" s="6">
        <f t="shared" si="43"/>
        <v>-3.1325799188574782E-2</v>
      </c>
      <c r="F162" s="6">
        <f t="shared" si="44"/>
        <v>-3.4064907819332357E-2</v>
      </c>
      <c r="H162" s="4" t="s">
        <v>82</v>
      </c>
      <c r="I162" s="6">
        <f t="shared" si="45"/>
        <v>-9.3134846677116068E-3</v>
      </c>
      <c r="J162" s="6">
        <f t="shared" si="46"/>
        <v>-1.0048520072056909E-2</v>
      </c>
      <c r="K162" s="6">
        <f t="shared" si="47"/>
        <v>-1.0569426885798568E-2</v>
      </c>
      <c r="L162" s="6">
        <f t="shared" si="48"/>
        <v>-1.1194884832349507E-2</v>
      </c>
      <c r="M162" s="6">
        <f t="shared" si="49"/>
        <v>-2.123034242181995E-2</v>
      </c>
    </row>
    <row r="163" spans="1:13">
      <c r="A163" s="4"/>
      <c r="B163" s="6"/>
      <c r="C163" s="6"/>
      <c r="D163" s="6"/>
      <c r="E163" s="6"/>
      <c r="F163" s="6"/>
      <c r="H163" s="4"/>
      <c r="I163" s="6"/>
      <c r="J163" s="6"/>
      <c r="K163" s="6"/>
      <c r="L163" s="6"/>
      <c r="M163" s="6"/>
    </row>
    <row r="164" spans="1:13">
      <c r="A164" s="4" t="s">
        <v>84</v>
      </c>
      <c r="B164" s="6">
        <f>B82/$B$39</f>
        <v>0.26437011613622258</v>
      </c>
      <c r="C164" s="6">
        <f>C82/$C$39</f>
        <v>0.25376357293765045</v>
      </c>
      <c r="D164" s="6">
        <f>D82/$D$39</f>
        <v>0.24202376549262386</v>
      </c>
      <c r="E164" s="6">
        <f>E82/$E$39</f>
        <v>0.30153257121724658</v>
      </c>
      <c r="F164" s="6">
        <f>F82/$F$39</f>
        <v>0.30750283874231826</v>
      </c>
      <c r="H164" s="4" t="s">
        <v>84</v>
      </c>
      <c r="I164" s="6">
        <f>I82/$I$39</f>
        <v>0.2579520731146237</v>
      </c>
      <c r="J164" s="6">
        <f>J82/$J$39</f>
        <v>0.24307372684119866</v>
      </c>
      <c r="K164" s="6">
        <f>K82/$K$39</f>
        <v>0.24005478297513697</v>
      </c>
      <c r="L164" s="6">
        <f>L82/$L$39</f>
        <v>0.22310663509694595</v>
      </c>
      <c r="M164" s="6">
        <f>M82/$M$39</f>
        <v>0.21436357948818413</v>
      </c>
    </row>
    <row r="165" spans="1:13">
      <c r="A165" s="4"/>
      <c r="B165" s="6"/>
      <c r="C165" s="6"/>
      <c r="D165" s="6"/>
      <c r="E165" s="6"/>
      <c r="F165" s="6"/>
      <c r="H165" s="4"/>
      <c r="I165" s="6"/>
      <c r="J165" s="6"/>
      <c r="K165" s="6"/>
      <c r="L165" s="6"/>
      <c r="M165" s="6"/>
    </row>
    <row r="166" spans="1:13">
      <c r="A166" s="4" t="s">
        <v>86</v>
      </c>
      <c r="B166" s="6">
        <f>B84/$B$39</f>
        <v>4.0155017160804975E-2</v>
      </c>
      <c r="C166" s="6">
        <f>C84/$C$39</f>
        <v>3.9596128334889208E-2</v>
      </c>
      <c r="D166" s="6">
        <f>D84/$D$39</f>
        <v>2.2233916589922378E-2</v>
      </c>
      <c r="E166" s="6">
        <f>E84/$E$39</f>
        <v>3.1766318239664117E-2</v>
      </c>
      <c r="F166" s="6">
        <f>F84/$F$39</f>
        <v>3.3412520137476913E-2</v>
      </c>
      <c r="H166" s="4" t="s">
        <v>86</v>
      </c>
      <c r="I166" s="6">
        <f>I84/$I$39</f>
        <v>3.4779353852632234E-3</v>
      </c>
      <c r="J166" s="6">
        <f>J84/$J$39</f>
        <v>3.6002156447646973E-3</v>
      </c>
      <c r="K166" s="6">
        <f>K84/$K$39</f>
        <v>3.473978086809945E-3</v>
      </c>
      <c r="L166" s="6">
        <f>L84/$L$39</f>
        <v>3.846195812283822E-3</v>
      </c>
      <c r="M166" s="6">
        <f>M84/$M$39</f>
        <v>4.5184387056410973E-3</v>
      </c>
    </row>
    <row r="167" spans="1:13">
      <c r="A167" s="4" t="s">
        <v>87</v>
      </c>
      <c r="B167" s="6">
        <f>B85/$B$39</f>
        <v>0.30452513329702757</v>
      </c>
      <c r="C167" s="6">
        <f>C85/$C$39</f>
        <v>0.29335970127253969</v>
      </c>
      <c r="D167" s="6">
        <f>D85/$D$39</f>
        <v>0.26425768208254624</v>
      </c>
      <c r="E167" s="6">
        <f>E85/$E$39</f>
        <v>0.33329888945691072</v>
      </c>
      <c r="F167" s="6">
        <f>F85/$F$39</f>
        <v>0.34091535887979518</v>
      </c>
      <c r="H167" s="4" t="s">
        <v>87</v>
      </c>
      <c r="I167" s="6">
        <f>I85/$I$39</f>
        <v>0.2614300084998869</v>
      </c>
      <c r="J167" s="6">
        <f>J85/$J$39</f>
        <v>0.24667394248596336</v>
      </c>
      <c r="K167" s="6">
        <f>K85/$K$39</f>
        <v>0.2435287610619469</v>
      </c>
      <c r="L167" s="6">
        <f>L85/$L$39</f>
        <v>0.22695283090922977</v>
      </c>
      <c r="M167" s="6">
        <f>M85/$M$39</f>
        <v>0.21888201819382522</v>
      </c>
    </row>
    <row r="168" spans="1:13">
      <c r="A168" s="4" t="s">
        <v>88</v>
      </c>
      <c r="B168" s="6">
        <f>B86/$B$39</f>
        <v>1</v>
      </c>
      <c r="C168" s="6">
        <f>C86/$C$39</f>
        <v>1</v>
      </c>
      <c r="D168" s="6">
        <f>D86/$D$39</f>
        <v>1</v>
      </c>
      <c r="E168" s="6">
        <f>E86/$E$39</f>
        <v>1</v>
      </c>
      <c r="F168" s="6">
        <f>F86/$F$39</f>
        <v>1</v>
      </c>
      <c r="H168" s="4" t="s">
        <v>88</v>
      </c>
      <c r="I168" s="6">
        <f>I86/$I$39</f>
        <v>1</v>
      </c>
      <c r="J168" s="6">
        <f>J86/$J$39</f>
        <v>1</v>
      </c>
      <c r="K168" s="6">
        <f>K86/$K$39</f>
        <v>1</v>
      </c>
      <c r="L168" s="6">
        <f>L86/$L$39</f>
        <v>1</v>
      </c>
      <c r="M168" s="6">
        <f>M86/$M$39</f>
        <v>1</v>
      </c>
    </row>
    <row r="169" spans="1:13">
      <c r="D169" s="6"/>
    </row>
  </sheetData>
  <mergeCells count="4">
    <mergeCell ref="N90:R90"/>
    <mergeCell ref="A89:F89"/>
    <mergeCell ref="H89:M89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07A7-A1B4-4176-A497-B6822C1A6797}">
  <dimension ref="A1:O88"/>
  <sheetViews>
    <sheetView workbookViewId="0">
      <selection activeCell="G2" sqref="G2"/>
    </sheetView>
  </sheetViews>
  <sheetFormatPr baseColWidth="10" defaultRowHeight="16"/>
  <cols>
    <col min="1" max="1" width="21.6640625" customWidth="1"/>
    <col min="2" max="6" width="9" bestFit="1" customWidth="1"/>
    <col min="7" max="7" width="10.5" customWidth="1"/>
    <col min="9" max="9" width="21" customWidth="1"/>
  </cols>
  <sheetData>
    <row r="1" spans="1:15" ht="43.5" customHeight="1">
      <c r="A1" s="122" t="s">
        <v>91</v>
      </c>
      <c r="B1" s="122"/>
      <c r="C1" s="122"/>
      <c r="D1" s="122"/>
      <c r="E1" s="122"/>
      <c r="F1" s="122"/>
      <c r="G1" s="11"/>
      <c r="H1" s="11"/>
      <c r="I1" s="122" t="s">
        <v>128</v>
      </c>
      <c r="J1" s="122"/>
      <c r="K1" s="122"/>
      <c r="L1" s="122"/>
      <c r="M1" s="122"/>
      <c r="N1" s="122"/>
    </row>
    <row r="2" spans="1:15" ht="42" customHeight="1">
      <c r="A2" s="95" t="s">
        <v>2</v>
      </c>
      <c r="B2" s="95">
        <v>2024</v>
      </c>
      <c r="C2" s="95">
        <v>2023</v>
      </c>
      <c r="D2" s="95">
        <v>2022</v>
      </c>
      <c r="E2" s="95">
        <v>2021</v>
      </c>
      <c r="F2" s="95">
        <v>2020</v>
      </c>
      <c r="G2" s="9"/>
      <c r="H2" s="8"/>
      <c r="I2" s="95" t="s">
        <v>2</v>
      </c>
      <c r="J2" s="95">
        <v>2024</v>
      </c>
      <c r="K2" s="95">
        <v>2023</v>
      </c>
      <c r="L2" s="95">
        <v>2022</v>
      </c>
      <c r="M2" s="95">
        <v>2021</v>
      </c>
      <c r="N2" s="95">
        <v>2020</v>
      </c>
      <c r="O2" s="7"/>
    </row>
    <row r="3" spans="1:15">
      <c r="A3" s="96" t="s">
        <v>92</v>
      </c>
      <c r="B3" s="97">
        <v>122336</v>
      </c>
      <c r="C3" s="97">
        <v>122428</v>
      </c>
      <c r="D3" s="97">
        <v>120741</v>
      </c>
      <c r="E3" s="97">
        <v>134038</v>
      </c>
      <c r="F3" s="97">
        <v>171760</v>
      </c>
      <c r="G3" s="10"/>
      <c r="H3" s="8"/>
      <c r="I3" s="96" t="s">
        <v>92</v>
      </c>
      <c r="J3" s="97">
        <v>134788</v>
      </c>
      <c r="K3" s="97">
        <v>133974</v>
      </c>
      <c r="L3" s="97">
        <v>136835</v>
      </c>
      <c r="M3" s="97">
        <v>133613</v>
      </c>
      <c r="N3" s="97">
        <v>128292</v>
      </c>
      <c r="O3" s="94"/>
    </row>
    <row r="4" spans="1:15" ht="27">
      <c r="A4" s="96" t="s">
        <v>93</v>
      </c>
      <c r="B4" s="97">
        <v>69801</v>
      </c>
      <c r="C4" s="97">
        <v>68900</v>
      </c>
      <c r="D4" s="97">
        <v>68869</v>
      </c>
      <c r="E4" s="97">
        <v>78259</v>
      </c>
      <c r="F4" s="97">
        <v>108436</v>
      </c>
      <c r="G4" s="10"/>
      <c r="H4" s="8"/>
      <c r="I4" s="96" t="s">
        <v>93</v>
      </c>
      <c r="J4" s="97">
        <v>71989</v>
      </c>
      <c r="K4" s="97">
        <v>72511</v>
      </c>
      <c r="L4" s="97">
        <v>76232</v>
      </c>
      <c r="M4" s="97">
        <v>72507</v>
      </c>
      <c r="N4" s="97">
        <v>67921</v>
      </c>
      <c r="O4" s="94"/>
    </row>
    <row r="5" spans="1:15">
      <c r="A5" s="96" t="s">
        <v>94</v>
      </c>
      <c r="B5" s="97">
        <v>49221</v>
      </c>
      <c r="C5" s="97">
        <v>50123</v>
      </c>
      <c r="D5" s="97">
        <v>50848</v>
      </c>
      <c r="E5" s="97">
        <v>60407</v>
      </c>
      <c r="F5" s="97">
        <v>79920</v>
      </c>
      <c r="G5" s="10"/>
      <c r="H5" s="8"/>
      <c r="I5" s="96" t="s">
        <v>94</v>
      </c>
      <c r="J5" s="97">
        <v>54097</v>
      </c>
      <c r="K5" s="97">
        <v>54887</v>
      </c>
      <c r="L5" s="97">
        <v>59133</v>
      </c>
      <c r="M5" s="97">
        <v>56301</v>
      </c>
      <c r="N5" s="97">
        <v>51201</v>
      </c>
      <c r="O5" s="94"/>
    </row>
    <row r="6" spans="1:15" ht="27">
      <c r="A6" s="96" t="s">
        <v>95</v>
      </c>
      <c r="B6" s="97">
        <v>20580</v>
      </c>
      <c r="C6" s="97">
        <v>18777</v>
      </c>
      <c r="D6" s="97">
        <v>18021</v>
      </c>
      <c r="E6" s="97">
        <v>17852</v>
      </c>
      <c r="F6" s="97">
        <v>28516</v>
      </c>
      <c r="G6" s="10"/>
      <c r="H6" s="8"/>
      <c r="I6" s="96" t="s">
        <v>95</v>
      </c>
      <c r="J6" s="97">
        <v>17892</v>
      </c>
      <c r="K6" s="97">
        <v>17624</v>
      </c>
      <c r="L6" s="97">
        <v>17099</v>
      </c>
      <c r="M6" s="97">
        <v>16206</v>
      </c>
      <c r="N6" s="97">
        <v>16720</v>
      </c>
      <c r="O6" s="94"/>
    </row>
    <row r="7" spans="1:15">
      <c r="A7" s="96" t="s">
        <v>96</v>
      </c>
      <c r="B7" s="97">
        <v>20421</v>
      </c>
      <c r="C7" s="97">
        <v>18593</v>
      </c>
      <c r="D7" s="97">
        <v>17852</v>
      </c>
      <c r="E7" s="97">
        <v>17634</v>
      </c>
      <c r="F7" s="97">
        <v>20277</v>
      </c>
      <c r="G7" s="10"/>
      <c r="H7" s="8"/>
      <c r="I7" s="96" t="s">
        <v>96</v>
      </c>
      <c r="J7" s="97">
        <v>15111</v>
      </c>
      <c r="K7" s="97">
        <v>14937</v>
      </c>
      <c r="L7" s="97">
        <v>14592</v>
      </c>
      <c r="M7" s="97">
        <v>14119</v>
      </c>
      <c r="N7" s="97">
        <v>14275</v>
      </c>
      <c r="O7" s="94"/>
    </row>
    <row r="8" spans="1:15">
      <c r="A8" s="96" t="s">
        <v>97</v>
      </c>
      <c r="B8" s="96">
        <v>159</v>
      </c>
      <c r="C8" s="96">
        <v>184</v>
      </c>
      <c r="D8" s="96">
        <v>169</v>
      </c>
      <c r="E8" s="96">
        <v>218</v>
      </c>
      <c r="F8" s="97">
        <v>8239</v>
      </c>
      <c r="G8" s="10"/>
      <c r="H8" s="8"/>
      <c r="I8" s="96" t="s">
        <v>97</v>
      </c>
      <c r="J8" s="97">
        <v>2781</v>
      </c>
      <c r="K8" s="97">
        <v>2687</v>
      </c>
      <c r="L8" s="97">
        <v>2507</v>
      </c>
      <c r="M8" s="97">
        <v>2087</v>
      </c>
      <c r="N8" s="97">
        <v>2445</v>
      </c>
      <c r="O8" s="94"/>
    </row>
    <row r="9" spans="1:15">
      <c r="A9" s="96" t="s">
        <v>98</v>
      </c>
      <c r="B9" s="97">
        <v>52535</v>
      </c>
      <c r="C9" s="97">
        <v>53528</v>
      </c>
      <c r="D9" s="97">
        <v>51872</v>
      </c>
      <c r="E9" s="97">
        <v>55779</v>
      </c>
      <c r="F9" s="97">
        <v>63324</v>
      </c>
      <c r="G9" s="10"/>
      <c r="H9" s="8"/>
      <c r="I9" s="96" t="s">
        <v>98</v>
      </c>
      <c r="J9" s="97">
        <v>62799</v>
      </c>
      <c r="K9" s="97">
        <v>61463</v>
      </c>
      <c r="L9" s="97">
        <v>60603</v>
      </c>
      <c r="M9" s="97">
        <v>61106</v>
      </c>
      <c r="N9" s="97">
        <v>60371</v>
      </c>
      <c r="O9" s="94"/>
    </row>
    <row r="10" spans="1:15">
      <c r="A10" s="96" t="s">
        <v>99</v>
      </c>
      <c r="B10" s="97">
        <v>28274</v>
      </c>
      <c r="C10" s="97">
        <v>28760</v>
      </c>
      <c r="D10" s="97">
        <v>28515</v>
      </c>
      <c r="E10" s="97">
        <v>29718</v>
      </c>
      <c r="F10" s="97">
        <v>37607</v>
      </c>
      <c r="G10" s="10"/>
      <c r="H10" s="8"/>
      <c r="I10" s="96" t="s">
        <v>99</v>
      </c>
      <c r="J10" s="97">
        <v>32195</v>
      </c>
      <c r="K10" s="97">
        <v>32632</v>
      </c>
      <c r="L10" s="97">
        <v>30136</v>
      </c>
      <c r="M10" s="97">
        <v>29141</v>
      </c>
      <c r="N10" s="97">
        <v>30504</v>
      </c>
      <c r="O10" s="94"/>
    </row>
    <row r="11" spans="1:15">
      <c r="A11" s="96" t="s">
        <v>100</v>
      </c>
      <c r="B11" s="96">
        <v>955</v>
      </c>
      <c r="C11" s="96">
        <v>954</v>
      </c>
      <c r="D11" s="97">
        <v>1236</v>
      </c>
      <c r="E11" s="97">
        <v>1325</v>
      </c>
      <c r="F11" s="97">
        <v>1210</v>
      </c>
      <c r="G11" s="10"/>
      <c r="H11" s="8"/>
      <c r="I11" s="96"/>
      <c r="J11" s="97"/>
      <c r="K11" s="97"/>
      <c r="L11" s="97"/>
      <c r="M11" s="97"/>
      <c r="N11" s="97"/>
      <c r="O11" s="94"/>
    </row>
    <row r="12" spans="1:15">
      <c r="A12" s="96" t="s">
        <v>101</v>
      </c>
      <c r="B12" s="97">
        <v>27319</v>
      </c>
      <c r="C12" s="97">
        <v>27806</v>
      </c>
      <c r="D12" s="97">
        <v>27279</v>
      </c>
      <c r="E12" s="97">
        <v>28393</v>
      </c>
      <c r="F12" s="97">
        <v>36397</v>
      </c>
      <c r="G12" s="10"/>
      <c r="H12" s="8"/>
      <c r="I12" s="96" t="s">
        <v>101</v>
      </c>
      <c r="J12" s="97">
        <v>32195</v>
      </c>
      <c r="K12" s="97">
        <v>32632</v>
      </c>
      <c r="L12" s="97">
        <v>30136</v>
      </c>
      <c r="M12" s="97">
        <v>29141</v>
      </c>
      <c r="N12" s="97">
        <v>30504</v>
      </c>
      <c r="O12" s="94"/>
    </row>
    <row r="13" spans="1:15">
      <c r="A13" s="96" t="s">
        <v>102</v>
      </c>
      <c r="B13" s="97">
        <v>24261</v>
      </c>
      <c r="C13" s="97">
        <v>24768</v>
      </c>
      <c r="D13" s="97">
        <v>23357</v>
      </c>
      <c r="E13" s="98" t="s">
        <v>6</v>
      </c>
      <c r="F13" s="97">
        <v>25717</v>
      </c>
      <c r="G13" s="10"/>
      <c r="H13" s="8"/>
      <c r="I13" s="96" t="s">
        <v>102</v>
      </c>
      <c r="J13" s="97">
        <v>30604</v>
      </c>
      <c r="K13" s="97">
        <v>28831</v>
      </c>
      <c r="L13" s="97">
        <v>30467</v>
      </c>
      <c r="M13" s="97">
        <v>31965</v>
      </c>
      <c r="N13" s="97">
        <v>29867</v>
      </c>
      <c r="O13" s="94"/>
    </row>
    <row r="14" spans="1:15">
      <c r="A14" s="96" t="s">
        <v>103</v>
      </c>
      <c r="B14" s="97">
        <v>5212</v>
      </c>
      <c r="C14" s="97">
        <v>1307</v>
      </c>
      <c r="D14" s="97">
        <v>27944</v>
      </c>
      <c r="E14" s="96">
        <v>164</v>
      </c>
      <c r="F14" s="97">
        <v>19312</v>
      </c>
      <c r="G14" s="10"/>
      <c r="H14" s="8"/>
      <c r="I14" s="96" t="s">
        <v>103</v>
      </c>
      <c r="J14" s="97">
        <v>1529</v>
      </c>
      <c r="K14" s="97">
        <v>5645</v>
      </c>
      <c r="L14" s="97">
        <v>1108</v>
      </c>
      <c r="M14" s="97">
        <v>3751</v>
      </c>
      <c r="N14" s="97">
        <v>1297</v>
      </c>
      <c r="O14" s="94"/>
    </row>
    <row r="15" spans="1:15" ht="27">
      <c r="A15" s="96" t="s">
        <v>104</v>
      </c>
      <c r="B15" s="97">
        <v>2405</v>
      </c>
      <c r="C15" s="97">
        <v>1404</v>
      </c>
      <c r="D15" s="97">
        <v>5841</v>
      </c>
      <c r="E15" s="97">
        <v>9367</v>
      </c>
      <c r="F15" s="97">
        <v>-1446</v>
      </c>
      <c r="G15" s="10"/>
      <c r="H15" s="8"/>
      <c r="I15" s="96" t="s">
        <v>104</v>
      </c>
      <c r="J15" s="96">
        <v>274</v>
      </c>
      <c r="K15" s="96">
        <v>-975</v>
      </c>
      <c r="L15" s="97">
        <v>2304</v>
      </c>
      <c r="M15" s="97">
        <v>4511</v>
      </c>
      <c r="N15" s="96">
        <v>-349</v>
      </c>
      <c r="O15" s="94"/>
    </row>
    <row r="16" spans="1:15">
      <c r="A16" s="96"/>
      <c r="B16" s="97"/>
      <c r="C16" s="97"/>
      <c r="D16" s="97"/>
      <c r="E16" s="97"/>
      <c r="F16" s="97"/>
      <c r="G16" s="10"/>
      <c r="H16" s="8"/>
      <c r="I16" s="96"/>
      <c r="J16" s="96"/>
      <c r="K16" s="96"/>
      <c r="L16" s="97"/>
      <c r="M16" s="97"/>
      <c r="N16" s="96"/>
      <c r="O16" s="94"/>
    </row>
    <row r="17" spans="1:15">
      <c r="A17" s="96"/>
      <c r="B17" s="97"/>
      <c r="C17" s="97"/>
      <c r="D17" s="97"/>
      <c r="E17" s="96"/>
      <c r="F17" s="96"/>
      <c r="G17" s="10"/>
      <c r="H17" s="8"/>
      <c r="I17" s="96" t="s">
        <v>129</v>
      </c>
      <c r="J17" s="96">
        <v>336</v>
      </c>
      <c r="K17" s="96">
        <v>354</v>
      </c>
      <c r="L17" s="96">
        <v>146</v>
      </c>
      <c r="M17" s="96">
        <v>48</v>
      </c>
      <c r="N17" s="96">
        <v>65</v>
      </c>
      <c r="O17" s="94"/>
    </row>
    <row r="18" spans="1:15">
      <c r="A18" s="96" t="s">
        <v>105</v>
      </c>
      <c r="B18" s="97">
        <v>1989</v>
      </c>
      <c r="C18" s="97">
        <v>1675</v>
      </c>
      <c r="D18" s="97">
        <v>1791</v>
      </c>
      <c r="E18" s="96">
        <v>603</v>
      </c>
      <c r="F18" s="96">
        <v>95</v>
      </c>
      <c r="G18" s="10"/>
      <c r="H18" s="8"/>
      <c r="I18" s="96" t="s">
        <v>105</v>
      </c>
      <c r="J18" s="96">
        <v>-53</v>
      </c>
      <c r="K18" s="96">
        <v>-53</v>
      </c>
      <c r="L18" s="96">
        <v>44</v>
      </c>
      <c r="M18" s="96">
        <v>145</v>
      </c>
      <c r="N18" s="96">
        <v>-45</v>
      </c>
      <c r="O18" s="94"/>
    </row>
    <row r="19" spans="1:15">
      <c r="A19" s="96" t="s">
        <v>106</v>
      </c>
      <c r="B19" s="97">
        <v>6745</v>
      </c>
      <c r="C19" s="97">
        <v>6692</v>
      </c>
      <c r="D19" s="97">
        <v>6139</v>
      </c>
      <c r="E19" s="97">
        <v>6696</v>
      </c>
      <c r="F19" s="97">
        <v>7910</v>
      </c>
      <c r="G19" s="10"/>
      <c r="H19" s="8"/>
      <c r="I19" s="96" t="s">
        <v>106</v>
      </c>
      <c r="J19" s="97">
        <v>6653</v>
      </c>
      <c r="K19" s="97">
        <v>5525</v>
      </c>
      <c r="L19" s="97">
        <v>3582</v>
      </c>
      <c r="M19" s="97">
        <v>3498</v>
      </c>
      <c r="N19" s="97">
        <v>4274</v>
      </c>
      <c r="O19" s="94"/>
    </row>
    <row r="20" spans="1:15">
      <c r="A20" s="96" t="s">
        <v>107</v>
      </c>
      <c r="B20" s="97">
        <v>6907</v>
      </c>
      <c r="C20" s="97">
        <v>6871</v>
      </c>
      <c r="D20" s="97">
        <v>6313</v>
      </c>
      <c r="E20" s="97">
        <v>6869</v>
      </c>
      <c r="F20" s="97">
        <v>8033</v>
      </c>
      <c r="G20" s="10"/>
      <c r="H20" s="8"/>
      <c r="I20" s="96" t="s">
        <v>107</v>
      </c>
      <c r="J20" s="97">
        <v>7616</v>
      </c>
      <c r="K20" s="97">
        <v>7343</v>
      </c>
      <c r="L20" s="97">
        <v>5612</v>
      </c>
      <c r="M20" s="97">
        <v>5339</v>
      </c>
      <c r="N20" s="97">
        <v>4829</v>
      </c>
      <c r="O20" s="94"/>
    </row>
    <row r="21" spans="1:15">
      <c r="A21" s="96" t="s">
        <v>108</v>
      </c>
      <c r="B21" s="96">
        <v>162</v>
      </c>
      <c r="C21" s="96">
        <v>179</v>
      </c>
      <c r="D21" s="96">
        <v>174</v>
      </c>
      <c r="E21" s="96">
        <v>173</v>
      </c>
      <c r="F21" s="96">
        <v>123</v>
      </c>
      <c r="G21" s="10"/>
      <c r="H21" s="8"/>
      <c r="I21" s="96" t="s">
        <v>108</v>
      </c>
      <c r="J21" s="96">
        <v>963</v>
      </c>
      <c r="K21" s="97">
        <v>1818</v>
      </c>
      <c r="L21" s="97">
        <v>2030</v>
      </c>
      <c r="M21" s="97">
        <v>1841</v>
      </c>
      <c r="N21" s="96">
        <v>555</v>
      </c>
      <c r="O21" s="94"/>
    </row>
    <row r="22" spans="1:15">
      <c r="A22" s="96" t="s">
        <v>109</v>
      </c>
      <c r="B22" s="97">
        <v>16698</v>
      </c>
      <c r="C22" s="97">
        <v>19848</v>
      </c>
      <c r="D22" s="97">
        <v>-3094</v>
      </c>
      <c r="E22" s="97">
        <v>29171</v>
      </c>
      <c r="F22" s="97">
        <v>-2856</v>
      </c>
      <c r="G22" s="10"/>
      <c r="H22" s="8"/>
      <c r="I22" s="96" t="s">
        <v>109</v>
      </c>
      <c r="J22" s="97">
        <v>22979</v>
      </c>
      <c r="K22" s="97">
        <v>16987</v>
      </c>
      <c r="L22" s="97">
        <v>28271</v>
      </c>
      <c r="M22" s="97">
        <v>29420</v>
      </c>
      <c r="N22" s="97">
        <v>23967</v>
      </c>
      <c r="O22" s="94"/>
    </row>
    <row r="23" spans="1:15">
      <c r="A23" s="96" t="s">
        <v>110</v>
      </c>
      <c r="B23" s="97">
        <v>4445</v>
      </c>
      <c r="C23" s="97">
        <v>4225</v>
      </c>
      <c r="D23" s="97">
        <v>3780</v>
      </c>
      <c r="E23" s="97">
        <v>5395</v>
      </c>
      <c r="F23" s="96">
        <v>965</v>
      </c>
      <c r="G23" s="10"/>
      <c r="H23" s="8"/>
      <c r="I23" s="96" t="s">
        <v>110</v>
      </c>
      <c r="J23" s="97">
        <v>5030</v>
      </c>
      <c r="K23" s="97">
        <v>4892</v>
      </c>
      <c r="L23" s="97">
        <v>6523</v>
      </c>
      <c r="M23" s="97">
        <v>6802</v>
      </c>
      <c r="N23" s="97">
        <v>5619</v>
      </c>
      <c r="O23" s="94"/>
    </row>
    <row r="24" spans="1:15">
      <c r="A24" s="96" t="s">
        <v>111</v>
      </c>
      <c r="B24" s="97">
        <v>3628</v>
      </c>
      <c r="C24" s="97">
        <v>2703</v>
      </c>
      <c r="D24" s="96">
        <v>600</v>
      </c>
      <c r="E24" s="97">
        <v>-2111</v>
      </c>
      <c r="F24" s="96">
        <v>-693</v>
      </c>
      <c r="G24" s="10"/>
      <c r="H24" s="8"/>
      <c r="I24" s="96" t="s">
        <v>111</v>
      </c>
      <c r="J24" s="97">
        <v>3975</v>
      </c>
      <c r="K24" s="97">
        <v>2285</v>
      </c>
      <c r="L24" s="97">
        <v>3349</v>
      </c>
      <c r="M24" s="97">
        <v>2290</v>
      </c>
      <c r="N24" s="97">
        <v>3907</v>
      </c>
      <c r="O24" s="94"/>
    </row>
    <row r="25" spans="1:15">
      <c r="A25" s="96" t="s">
        <v>112</v>
      </c>
      <c r="B25" s="96">
        <v>68</v>
      </c>
      <c r="C25" s="96">
        <v>66</v>
      </c>
      <c r="D25" s="96">
        <v>106</v>
      </c>
      <c r="E25" s="96">
        <v>-66</v>
      </c>
      <c r="F25" s="96">
        <v>413</v>
      </c>
      <c r="G25" s="10"/>
      <c r="H25" s="8"/>
      <c r="I25" s="96" t="s">
        <v>112</v>
      </c>
      <c r="J25" s="96">
        <v>240</v>
      </c>
      <c r="K25" s="96">
        <v>219</v>
      </c>
      <c r="L25" s="96">
        <v>201</v>
      </c>
      <c r="M25" s="96">
        <v>248</v>
      </c>
      <c r="N25" s="96">
        <v>159</v>
      </c>
      <c r="O25" s="94"/>
    </row>
    <row r="26" spans="1:15" ht="27">
      <c r="A26" s="96" t="s">
        <v>113</v>
      </c>
      <c r="B26" s="96">
        <v>777</v>
      </c>
      <c r="C26" s="97">
        <v>1418</v>
      </c>
      <c r="D26" s="97">
        <v>3118</v>
      </c>
      <c r="E26" s="97">
        <v>7520</v>
      </c>
      <c r="F26" s="97">
        <v>1302</v>
      </c>
      <c r="G26" s="10"/>
      <c r="H26" s="8"/>
      <c r="I26" s="96" t="s">
        <v>113</v>
      </c>
      <c r="J26" s="96">
        <v>819</v>
      </c>
      <c r="K26" s="97">
        <v>2360</v>
      </c>
      <c r="L26" s="97">
        <v>2995</v>
      </c>
      <c r="M26" s="97">
        <v>4361</v>
      </c>
      <c r="N26" s="97">
        <v>1552</v>
      </c>
      <c r="O26" s="94"/>
    </row>
    <row r="27" spans="1:15">
      <c r="A27" s="96" t="s">
        <v>114</v>
      </c>
      <c r="B27" s="96">
        <v>-28</v>
      </c>
      <c r="C27" s="96">
        <v>38</v>
      </c>
      <c r="D27" s="96">
        <v>-44</v>
      </c>
      <c r="E27" s="96">
        <v>52</v>
      </c>
      <c r="F27" s="96">
        <v>-57</v>
      </c>
      <c r="G27" s="10"/>
      <c r="H27" s="8"/>
      <c r="I27" s="96" t="s">
        <v>114</v>
      </c>
      <c r="J27" s="96">
        <v>-4</v>
      </c>
      <c r="K27" s="96">
        <v>28</v>
      </c>
      <c r="L27" s="96">
        <v>-22</v>
      </c>
      <c r="M27" s="96">
        <v>-97</v>
      </c>
      <c r="N27" s="96">
        <v>1</v>
      </c>
      <c r="O27" s="94"/>
    </row>
    <row r="28" spans="1:15">
      <c r="A28" s="96" t="s">
        <v>115</v>
      </c>
      <c r="B28" s="97">
        <v>12253</v>
      </c>
      <c r="C28" s="97">
        <v>15623</v>
      </c>
      <c r="D28" s="97">
        <v>-6874</v>
      </c>
      <c r="E28" s="97">
        <v>23776</v>
      </c>
      <c r="F28" s="97">
        <v>-3821</v>
      </c>
      <c r="G28" s="10"/>
      <c r="H28" s="8"/>
      <c r="I28" s="96" t="s">
        <v>115</v>
      </c>
      <c r="J28" s="97">
        <v>17949</v>
      </c>
      <c r="K28" s="97">
        <v>12095</v>
      </c>
      <c r="L28" s="97">
        <v>21748</v>
      </c>
      <c r="M28" s="97">
        <v>22618</v>
      </c>
      <c r="N28" s="97">
        <v>18348</v>
      </c>
      <c r="O28" s="94"/>
    </row>
    <row r="29" spans="1:15">
      <c r="A29" s="96" t="s">
        <v>116</v>
      </c>
      <c r="B29" s="97">
        <v>1305</v>
      </c>
      <c r="C29" s="97">
        <v>1223</v>
      </c>
      <c r="D29" s="97">
        <v>1469</v>
      </c>
      <c r="E29" s="97">
        <v>1398</v>
      </c>
      <c r="F29" s="97">
        <v>1355</v>
      </c>
      <c r="G29" s="10"/>
      <c r="H29" s="8"/>
      <c r="I29" s="96" t="s">
        <v>116</v>
      </c>
      <c r="J29" s="96">
        <v>443</v>
      </c>
      <c r="K29" s="96">
        <v>481</v>
      </c>
      <c r="L29" s="96">
        <v>492</v>
      </c>
      <c r="M29" s="96">
        <v>553</v>
      </c>
      <c r="N29" s="96">
        <v>547</v>
      </c>
      <c r="O29" s="94"/>
    </row>
    <row r="30" spans="1:15">
      <c r="A30" s="96" t="s">
        <v>117</v>
      </c>
      <c r="B30" s="97">
        <v>10948</v>
      </c>
      <c r="C30" s="97">
        <v>14400</v>
      </c>
      <c r="D30" s="97">
        <v>-8343</v>
      </c>
      <c r="E30" s="97">
        <v>22378</v>
      </c>
      <c r="F30" s="97">
        <v>-5176</v>
      </c>
      <c r="G30" s="10"/>
      <c r="H30" s="8"/>
      <c r="I30" s="96" t="s">
        <v>117</v>
      </c>
      <c r="J30" s="97">
        <v>17506</v>
      </c>
      <c r="K30" s="97">
        <v>11614</v>
      </c>
      <c r="L30" s="97">
        <v>21256</v>
      </c>
      <c r="M30" s="97">
        <v>22065</v>
      </c>
      <c r="N30" s="97">
        <v>17801</v>
      </c>
      <c r="O30" s="94"/>
    </row>
    <row r="31" spans="1:15" ht="35.25" customHeight="1">
      <c r="A31" s="96" t="s">
        <v>118</v>
      </c>
      <c r="B31" s="98" t="s">
        <v>6</v>
      </c>
      <c r="C31" s="98" t="s">
        <v>6</v>
      </c>
      <c r="D31" s="96">
        <v>-181</v>
      </c>
      <c r="E31" s="97">
        <v>-2297</v>
      </c>
      <c r="F31" s="98" t="s">
        <v>6</v>
      </c>
      <c r="G31" s="10"/>
      <c r="H31" s="8"/>
      <c r="I31" s="96"/>
      <c r="J31" s="97"/>
      <c r="K31" s="97"/>
      <c r="L31" s="97"/>
      <c r="M31" s="97"/>
      <c r="N31" s="97"/>
      <c r="O31" s="94"/>
    </row>
    <row r="32" spans="1:15">
      <c r="A32" s="96" t="s">
        <v>119</v>
      </c>
      <c r="B32" s="98" t="s">
        <v>6</v>
      </c>
      <c r="C32" s="98" t="s">
        <v>6</v>
      </c>
      <c r="D32" s="96">
        <v>-181</v>
      </c>
      <c r="E32" s="97">
        <v>-2297</v>
      </c>
      <c r="F32" s="98" t="s">
        <v>6</v>
      </c>
      <c r="G32" s="10"/>
      <c r="H32" s="8"/>
      <c r="I32" s="96"/>
      <c r="J32" s="97"/>
      <c r="K32" s="97"/>
      <c r="L32" s="97"/>
      <c r="M32" s="97"/>
      <c r="N32" s="97"/>
      <c r="O32" s="94"/>
    </row>
    <row r="33" spans="1:15" ht="27">
      <c r="A33" s="96" t="s">
        <v>120</v>
      </c>
      <c r="B33" s="97">
        <v>10948</v>
      </c>
      <c r="C33" s="97">
        <v>14400</v>
      </c>
      <c r="D33" s="97">
        <v>-8162</v>
      </c>
      <c r="E33" s="97">
        <v>24675</v>
      </c>
      <c r="F33" s="97">
        <v>-5176</v>
      </c>
      <c r="G33" s="10"/>
      <c r="H33" s="8"/>
      <c r="I33" s="96" t="s">
        <v>120</v>
      </c>
      <c r="J33" s="97">
        <v>17506</v>
      </c>
      <c r="K33" s="97">
        <v>11614</v>
      </c>
      <c r="L33" s="97">
        <v>21256</v>
      </c>
      <c r="M33" s="97">
        <v>22065</v>
      </c>
      <c r="N33" s="97">
        <v>17801</v>
      </c>
      <c r="O33" s="94"/>
    </row>
    <row r="34" spans="1:15">
      <c r="A34" s="96" t="s">
        <v>121</v>
      </c>
      <c r="B34" s="96">
        <v>202</v>
      </c>
      <c r="C34" s="96">
        <v>208</v>
      </c>
      <c r="D34" s="96">
        <v>203</v>
      </c>
      <c r="E34" s="96">
        <v>207</v>
      </c>
      <c r="F34" s="96">
        <v>193</v>
      </c>
      <c r="G34" s="10"/>
      <c r="H34" s="8"/>
      <c r="I34" s="96"/>
      <c r="J34" s="97"/>
      <c r="K34" s="97"/>
      <c r="L34" s="97"/>
      <c r="M34" s="97"/>
      <c r="N34" s="97"/>
      <c r="O34" s="94"/>
    </row>
    <row r="35" spans="1:15" ht="27">
      <c r="A35" s="96" t="s">
        <v>122</v>
      </c>
      <c r="B35" s="97">
        <v>10746</v>
      </c>
      <c r="C35" s="97">
        <v>14192</v>
      </c>
      <c r="D35" s="97">
        <v>-8727</v>
      </c>
      <c r="E35" s="97">
        <v>19874</v>
      </c>
      <c r="F35" s="97">
        <v>-5369</v>
      </c>
      <c r="G35" s="10"/>
      <c r="H35" s="8"/>
      <c r="I35" s="96" t="s">
        <v>122</v>
      </c>
      <c r="J35" s="97">
        <v>17506</v>
      </c>
      <c r="K35" s="97">
        <v>11614</v>
      </c>
      <c r="L35" s="97">
        <v>21256</v>
      </c>
      <c r="M35" s="97">
        <v>22065</v>
      </c>
      <c r="N35" s="97">
        <v>17801</v>
      </c>
      <c r="O35" s="94"/>
    </row>
    <row r="36" spans="1:15">
      <c r="A36" s="96" t="s">
        <v>123</v>
      </c>
      <c r="B36" s="96">
        <v>1.49</v>
      </c>
      <c r="C36" s="96">
        <v>1.97</v>
      </c>
      <c r="D36" s="96">
        <v>-1.22</v>
      </c>
      <c r="E36" s="96">
        <v>2.73</v>
      </c>
      <c r="F36" s="96">
        <v>-0.75</v>
      </c>
      <c r="G36" s="10"/>
      <c r="H36" s="8"/>
      <c r="I36" s="96" t="s">
        <v>123</v>
      </c>
      <c r="J36" s="96">
        <v>4.1500000000000004</v>
      </c>
      <c r="K36" s="96">
        <v>2.76</v>
      </c>
      <c r="L36" s="96">
        <v>5.0599999999999996</v>
      </c>
      <c r="M36" s="96">
        <v>5.32</v>
      </c>
      <c r="N36" s="96">
        <v>4.3</v>
      </c>
      <c r="O36" s="94"/>
    </row>
    <row r="37" spans="1:15">
      <c r="A37" s="96"/>
      <c r="B37" s="99"/>
      <c r="C37" s="100"/>
      <c r="D37" s="99"/>
      <c r="E37" s="100"/>
      <c r="F37" s="98"/>
      <c r="G37" s="10"/>
      <c r="H37" s="8"/>
      <c r="I37" s="96"/>
      <c r="J37" s="97">
        <v>4218</v>
      </c>
      <c r="K37" s="97">
        <v>4211</v>
      </c>
      <c r="L37" s="97">
        <v>4202</v>
      </c>
      <c r="M37" s="97">
        <v>4148</v>
      </c>
      <c r="N37" s="97">
        <v>4140</v>
      </c>
      <c r="O37" s="94"/>
    </row>
    <row r="38" spans="1:15">
      <c r="A38" s="96" t="s">
        <v>124</v>
      </c>
      <c r="B38" s="97">
        <v>7199</v>
      </c>
      <c r="C38" s="97">
        <v>7181</v>
      </c>
      <c r="D38" s="97">
        <v>7166</v>
      </c>
      <c r="E38" s="97">
        <v>7168</v>
      </c>
      <c r="F38" s="97">
        <v>7157</v>
      </c>
      <c r="G38" s="10"/>
      <c r="H38" s="8"/>
      <c r="I38" s="96" t="s">
        <v>124</v>
      </c>
      <c r="J38" s="97">
        <v>4218</v>
      </c>
      <c r="K38" s="97">
        <v>4211</v>
      </c>
      <c r="L38" s="97">
        <v>4202</v>
      </c>
      <c r="M38" s="97">
        <v>4148</v>
      </c>
      <c r="N38" s="97">
        <v>4140</v>
      </c>
      <c r="O38" s="94"/>
    </row>
    <row r="39" spans="1:15">
      <c r="A39" s="96" t="s">
        <v>125</v>
      </c>
      <c r="B39" s="96">
        <v>1.49</v>
      </c>
      <c r="C39" s="96">
        <v>1.97</v>
      </c>
      <c r="D39" s="96">
        <v>-1.22</v>
      </c>
      <c r="E39" s="96">
        <v>2.73</v>
      </c>
      <c r="F39" s="96">
        <v>-0.75</v>
      </c>
      <c r="G39" s="10"/>
      <c r="H39" s="8"/>
      <c r="I39" s="96" t="s">
        <v>125</v>
      </c>
      <c r="J39" s="96">
        <v>4.1500000000000004</v>
      </c>
      <c r="K39" s="96">
        <v>2.76</v>
      </c>
      <c r="L39" s="96">
        <v>5.0599999999999996</v>
      </c>
      <c r="M39" s="96">
        <v>5.32</v>
      </c>
      <c r="N39" s="96">
        <v>4.3</v>
      </c>
      <c r="O39" s="94"/>
    </row>
    <row r="40" spans="1:15">
      <c r="A40" s="96"/>
      <c r="B40" s="99"/>
      <c r="C40" s="100"/>
      <c r="D40" s="99"/>
      <c r="E40" s="100"/>
      <c r="F40" s="98"/>
      <c r="G40" s="10"/>
      <c r="H40" s="8"/>
      <c r="I40" s="96"/>
      <c r="J40" s="97"/>
      <c r="K40" s="97"/>
      <c r="L40" s="97"/>
      <c r="M40" s="97"/>
      <c r="N40" s="97"/>
      <c r="O40" s="94"/>
    </row>
    <row r="41" spans="1:15">
      <c r="A41" s="96" t="s">
        <v>126</v>
      </c>
      <c r="B41" s="97">
        <v>7204</v>
      </c>
      <c r="C41" s="97">
        <v>7258</v>
      </c>
      <c r="D41" s="97">
        <v>7166</v>
      </c>
      <c r="E41" s="97">
        <v>7503</v>
      </c>
      <c r="F41" s="97">
        <v>7157</v>
      </c>
      <c r="G41" s="10"/>
      <c r="H41" s="8"/>
      <c r="I41" s="96" t="s">
        <v>126</v>
      </c>
      <c r="J41" s="97">
        <v>4223</v>
      </c>
      <c r="K41" s="97">
        <v>4215</v>
      </c>
      <c r="L41" s="97">
        <v>4204</v>
      </c>
      <c r="M41" s="97">
        <v>4150</v>
      </c>
      <c r="N41" s="97">
        <v>4142</v>
      </c>
      <c r="O41" s="94"/>
    </row>
    <row r="42" spans="1:15">
      <c r="A42" s="96" t="s">
        <v>127</v>
      </c>
      <c r="B42" s="97">
        <v>44841</v>
      </c>
      <c r="C42" s="97">
        <v>43545</v>
      </c>
      <c r="D42" s="97">
        <v>41378</v>
      </c>
      <c r="E42" s="97">
        <v>43913</v>
      </c>
      <c r="F42" s="97">
        <v>54233</v>
      </c>
      <c r="G42" s="10"/>
      <c r="H42" s="8"/>
      <c r="I42" s="96" t="s">
        <v>127</v>
      </c>
      <c r="J42" s="97">
        <v>48496</v>
      </c>
      <c r="K42" s="97">
        <v>46455</v>
      </c>
      <c r="L42" s="97">
        <v>47566</v>
      </c>
      <c r="M42" s="97">
        <v>48171</v>
      </c>
      <c r="N42" s="97">
        <v>46587</v>
      </c>
    </row>
    <row r="43" spans="1:15">
      <c r="A43" s="96" t="s">
        <v>102</v>
      </c>
      <c r="B43" s="97">
        <v>24261</v>
      </c>
      <c r="C43" s="97">
        <v>24768</v>
      </c>
      <c r="D43" s="97">
        <v>23357</v>
      </c>
      <c r="E43" s="98" t="s">
        <v>6</v>
      </c>
      <c r="F43" s="97">
        <v>25719</v>
      </c>
      <c r="G43" s="8"/>
      <c r="H43" s="8"/>
      <c r="I43" s="96" t="s">
        <v>102</v>
      </c>
      <c r="J43" s="97">
        <v>30604</v>
      </c>
      <c r="K43" s="97">
        <v>28831</v>
      </c>
      <c r="L43" s="97">
        <v>30467</v>
      </c>
      <c r="M43" s="97">
        <v>31965</v>
      </c>
      <c r="N43" s="97">
        <v>29867</v>
      </c>
    </row>
    <row r="44" spans="1:15" ht="25" customHeight="1">
      <c r="G44" s="101"/>
      <c r="H44" s="11"/>
    </row>
    <row r="45" spans="1:15">
      <c r="G45" s="8"/>
      <c r="H45" s="8"/>
    </row>
    <row r="46" spans="1:15" ht="24">
      <c r="A46" s="123" t="s">
        <v>130</v>
      </c>
      <c r="B46" s="123"/>
      <c r="C46" s="123"/>
      <c r="D46" s="123"/>
      <c r="E46" s="123"/>
      <c r="F46" s="123"/>
      <c r="G46" s="8"/>
      <c r="H46" s="8"/>
      <c r="I46" s="122" t="s">
        <v>131</v>
      </c>
      <c r="J46" s="122"/>
      <c r="K46" s="122"/>
      <c r="L46" s="122"/>
      <c r="M46" s="122"/>
      <c r="N46" s="122"/>
    </row>
    <row r="47" spans="1:15" ht="40">
      <c r="A47" s="95" t="s">
        <v>2</v>
      </c>
      <c r="B47" s="95">
        <v>2024</v>
      </c>
      <c r="C47" s="95">
        <v>2023</v>
      </c>
      <c r="D47" s="95">
        <v>2022</v>
      </c>
      <c r="E47" s="95">
        <v>2021</v>
      </c>
      <c r="F47" s="95">
        <v>2020</v>
      </c>
      <c r="G47" s="8"/>
      <c r="H47" s="8"/>
      <c r="I47" s="95" t="s">
        <v>2</v>
      </c>
      <c r="J47" s="95">
        <v>2024</v>
      </c>
      <c r="K47" s="95">
        <v>2023</v>
      </c>
      <c r="L47" s="95">
        <v>2022</v>
      </c>
      <c r="M47" s="95">
        <v>2021</v>
      </c>
      <c r="N47" s="95">
        <v>2020</v>
      </c>
    </row>
    <row r="48" spans="1:15">
      <c r="A48" s="96" t="s">
        <v>92</v>
      </c>
      <c r="B48" s="102">
        <f t="shared" ref="B48:B75" si="0">B3/$B$3</f>
        <v>1</v>
      </c>
      <c r="C48" s="102">
        <f t="shared" ref="C48:C75" si="1">C3/$C$3</f>
        <v>1</v>
      </c>
      <c r="D48" s="102">
        <f t="shared" ref="D48:D88" si="2">D3/$D$3</f>
        <v>1</v>
      </c>
      <c r="E48" s="102">
        <f t="shared" ref="E48:E87" si="3">E3/$E$3</f>
        <v>1</v>
      </c>
      <c r="F48" s="102">
        <f t="shared" ref="F48:F75" si="4">F3/$F$3</f>
        <v>1</v>
      </c>
      <c r="G48" s="8"/>
      <c r="H48" s="8"/>
      <c r="I48" s="96" t="s">
        <v>92</v>
      </c>
      <c r="J48" s="102">
        <f t="shared" ref="J48:J88" si="5">J3/$J$3</f>
        <v>1</v>
      </c>
      <c r="K48" s="102">
        <f t="shared" ref="K48:K88" si="6">K3/$K$3</f>
        <v>1</v>
      </c>
      <c r="L48" s="102">
        <f t="shared" ref="L48:L88" si="7">L3/$L$3</f>
        <v>1</v>
      </c>
      <c r="M48" s="102">
        <f t="shared" ref="M48:M88" si="8">M3/$M$3</f>
        <v>1</v>
      </c>
      <c r="N48" s="102">
        <f t="shared" ref="N48:N88" si="9">N3/$N$3</f>
        <v>1</v>
      </c>
    </row>
    <row r="49" spans="1:14" ht="27">
      <c r="A49" s="96" t="s">
        <v>93</v>
      </c>
      <c r="B49" s="102">
        <f t="shared" si="0"/>
        <v>0.57056794402301858</v>
      </c>
      <c r="C49" s="102">
        <f t="shared" si="1"/>
        <v>0.56277975626490673</v>
      </c>
      <c r="D49" s="102">
        <f t="shared" si="2"/>
        <v>0.57038619855724237</v>
      </c>
      <c r="E49" s="102">
        <f t="shared" si="3"/>
        <v>0.58385681672361567</v>
      </c>
      <c r="F49" s="102">
        <f t="shared" si="4"/>
        <v>0.6313227759664648</v>
      </c>
      <c r="G49" s="8"/>
      <c r="H49" s="8"/>
      <c r="I49" s="96" t="s">
        <v>93</v>
      </c>
      <c r="J49" s="102">
        <f t="shared" si="5"/>
        <v>0.53409057186099651</v>
      </c>
      <c r="K49" s="102">
        <f t="shared" si="6"/>
        <v>0.54123188081269502</v>
      </c>
      <c r="L49" s="102">
        <f t="shared" si="7"/>
        <v>0.55710892680966129</v>
      </c>
      <c r="M49" s="102">
        <f t="shared" si="8"/>
        <v>0.54266426171106108</v>
      </c>
      <c r="N49" s="102">
        <f t="shared" si="9"/>
        <v>0.52942506157827451</v>
      </c>
    </row>
    <row r="50" spans="1:14">
      <c r="A50" s="96" t="s">
        <v>94</v>
      </c>
      <c r="B50" s="102">
        <f t="shared" si="0"/>
        <v>0.40234272822390793</v>
      </c>
      <c r="C50" s="102">
        <f t="shared" si="1"/>
        <v>0.40940797856699446</v>
      </c>
      <c r="D50" s="102">
        <f t="shared" si="2"/>
        <v>0.42113283805832319</v>
      </c>
      <c r="E50" s="102">
        <f t="shared" si="3"/>
        <v>0.45067070532237125</v>
      </c>
      <c r="F50" s="102">
        <f t="shared" si="4"/>
        <v>0.46530041918956683</v>
      </c>
      <c r="G50" s="8"/>
      <c r="H50" s="8"/>
      <c r="I50" s="96" t="s">
        <v>94</v>
      </c>
      <c r="J50" s="102">
        <f t="shared" si="5"/>
        <v>0.40134878475828711</v>
      </c>
      <c r="K50" s="102">
        <f t="shared" si="6"/>
        <v>0.40968396853120753</v>
      </c>
      <c r="L50" s="102">
        <f t="shared" si="7"/>
        <v>0.43214820769539958</v>
      </c>
      <c r="M50" s="102">
        <f t="shared" si="8"/>
        <v>0.42137366872983917</v>
      </c>
      <c r="N50" s="102">
        <f t="shared" si="9"/>
        <v>0.39909737162098963</v>
      </c>
    </row>
    <row r="51" spans="1:14" ht="27">
      <c r="A51" s="96" t="s">
        <v>95</v>
      </c>
      <c r="B51" s="102">
        <f t="shared" si="0"/>
        <v>0.16822521579911065</v>
      </c>
      <c r="C51" s="102">
        <f t="shared" si="1"/>
        <v>0.15337177769791224</v>
      </c>
      <c r="D51" s="102">
        <f t="shared" si="2"/>
        <v>0.14925336049891919</v>
      </c>
      <c r="E51" s="102">
        <f t="shared" si="3"/>
        <v>0.13318611140124442</v>
      </c>
      <c r="F51" s="102">
        <f t="shared" si="4"/>
        <v>0.166022356776898</v>
      </c>
      <c r="G51" s="8"/>
      <c r="H51" s="8"/>
      <c r="I51" s="96" t="s">
        <v>95</v>
      </c>
      <c r="J51" s="102">
        <f t="shared" si="5"/>
        <v>0.13274178710270945</v>
      </c>
      <c r="K51" s="102">
        <f t="shared" si="6"/>
        <v>0.13154791228148746</v>
      </c>
      <c r="L51" s="102">
        <f t="shared" si="7"/>
        <v>0.1249607191142617</v>
      </c>
      <c r="M51" s="102">
        <f t="shared" si="8"/>
        <v>0.12129059298122188</v>
      </c>
      <c r="N51" s="102">
        <f t="shared" si="9"/>
        <v>0.13032768995728494</v>
      </c>
    </row>
    <row r="52" spans="1:14">
      <c r="A52" s="96" t="s">
        <v>96</v>
      </c>
      <c r="B52" s="102">
        <f t="shared" si="0"/>
        <v>0.16692551660999216</v>
      </c>
      <c r="C52" s="102">
        <f t="shared" si="1"/>
        <v>0.15186885353023818</v>
      </c>
      <c r="D52" s="102">
        <f t="shared" si="2"/>
        <v>0.14785367025285528</v>
      </c>
      <c r="E52" s="102">
        <f t="shared" si="3"/>
        <v>0.13155970694877572</v>
      </c>
      <c r="F52" s="102">
        <f t="shared" si="4"/>
        <v>0.11805426176059618</v>
      </c>
      <c r="G52" s="8"/>
      <c r="H52" s="8"/>
      <c r="I52" s="96" t="s">
        <v>96</v>
      </c>
      <c r="J52" s="102">
        <f t="shared" si="5"/>
        <v>0.11210938659227825</v>
      </c>
      <c r="K52" s="102">
        <f t="shared" si="6"/>
        <v>0.11149178198754982</v>
      </c>
      <c r="L52" s="102">
        <f t="shared" si="7"/>
        <v>0.10663938319874301</v>
      </c>
      <c r="M52" s="102">
        <f t="shared" si="8"/>
        <v>0.10567085538083869</v>
      </c>
      <c r="N52" s="102">
        <f t="shared" si="9"/>
        <v>0.11126960371652168</v>
      </c>
    </row>
    <row r="53" spans="1:14">
      <c r="A53" s="96" t="s">
        <v>97</v>
      </c>
      <c r="B53" s="102">
        <f t="shared" si="0"/>
        <v>1.2996991891184933E-3</v>
      </c>
      <c r="C53" s="102">
        <f t="shared" si="1"/>
        <v>1.5029241676740616E-3</v>
      </c>
      <c r="D53" s="102">
        <f t="shared" si="2"/>
        <v>1.3996902460638888E-3</v>
      </c>
      <c r="E53" s="102">
        <f t="shared" si="3"/>
        <v>1.6264044524687028E-3</v>
      </c>
      <c r="F53" s="102">
        <f t="shared" si="4"/>
        <v>4.7968095016301816E-2</v>
      </c>
      <c r="G53" s="8"/>
      <c r="H53" s="8"/>
      <c r="I53" s="96" t="s">
        <v>97</v>
      </c>
      <c r="J53" s="102">
        <f t="shared" si="5"/>
        <v>2.0632400510431196E-2</v>
      </c>
      <c r="K53" s="102">
        <f t="shared" si="6"/>
        <v>2.005613029393763E-2</v>
      </c>
      <c r="L53" s="102">
        <f t="shared" si="7"/>
        <v>1.832133591551869E-2</v>
      </c>
      <c r="M53" s="102">
        <f t="shared" si="8"/>
        <v>1.5619737600383196E-2</v>
      </c>
      <c r="N53" s="102">
        <f t="shared" si="9"/>
        <v>1.9058086240763258E-2</v>
      </c>
    </row>
    <row r="54" spans="1:14">
      <c r="A54" s="96" t="s">
        <v>98</v>
      </c>
      <c r="B54" s="102">
        <f t="shared" si="0"/>
        <v>0.42943205597698142</v>
      </c>
      <c r="C54" s="102">
        <f t="shared" si="1"/>
        <v>0.43722024373509327</v>
      </c>
      <c r="D54" s="102">
        <f t="shared" si="2"/>
        <v>0.42961380144275763</v>
      </c>
      <c r="E54" s="102">
        <f t="shared" si="3"/>
        <v>0.41614318327638433</v>
      </c>
      <c r="F54" s="102">
        <f t="shared" si="4"/>
        <v>0.36867722403353514</v>
      </c>
      <c r="G54" s="8"/>
      <c r="H54" s="8"/>
      <c r="I54" s="96" t="s">
        <v>98</v>
      </c>
      <c r="J54" s="102">
        <f t="shared" si="5"/>
        <v>0.46590942813900349</v>
      </c>
      <c r="K54" s="102">
        <f t="shared" si="6"/>
        <v>0.45876811918730498</v>
      </c>
      <c r="L54" s="102">
        <f t="shared" si="7"/>
        <v>0.44289107319033871</v>
      </c>
      <c r="M54" s="102">
        <f t="shared" si="8"/>
        <v>0.45733573828893898</v>
      </c>
      <c r="N54" s="102">
        <f t="shared" si="9"/>
        <v>0.47057493842172543</v>
      </c>
    </row>
    <row r="55" spans="1:14">
      <c r="A55" s="96" t="s">
        <v>99</v>
      </c>
      <c r="B55" s="102">
        <f t="shared" si="0"/>
        <v>0.23111757781846717</v>
      </c>
      <c r="C55" s="102">
        <f t="shared" si="1"/>
        <v>0.23491358186035874</v>
      </c>
      <c r="D55" s="102">
        <f t="shared" si="2"/>
        <v>0.23616667080776207</v>
      </c>
      <c r="E55" s="102">
        <f t="shared" si="3"/>
        <v>0.22171324549754548</v>
      </c>
      <c r="F55" s="102">
        <f t="shared" si="4"/>
        <v>0.21895086166744293</v>
      </c>
      <c r="G55" s="8"/>
      <c r="H55" s="8"/>
      <c r="I55" s="96" t="s">
        <v>99</v>
      </c>
      <c r="J55" s="102">
        <f t="shared" si="5"/>
        <v>0.2388565747692673</v>
      </c>
      <c r="K55" s="102">
        <f t="shared" si="6"/>
        <v>0.24356964784211863</v>
      </c>
      <c r="L55" s="102">
        <f t="shared" si="7"/>
        <v>0.22023605071801805</v>
      </c>
      <c r="M55" s="102">
        <f t="shared" si="8"/>
        <v>0.21810003517621787</v>
      </c>
      <c r="N55" s="102">
        <f t="shared" si="9"/>
        <v>0.23777008698905622</v>
      </c>
    </row>
    <row r="56" spans="1:14">
      <c r="A56" s="96" t="s">
        <v>100</v>
      </c>
      <c r="B56" s="102">
        <f t="shared" si="0"/>
        <v>7.8063693434475539E-3</v>
      </c>
      <c r="C56" s="102">
        <f t="shared" si="1"/>
        <v>7.7923350867448622E-3</v>
      </c>
      <c r="D56" s="102">
        <f t="shared" si="2"/>
        <v>1.0236787835118145E-2</v>
      </c>
      <c r="E56" s="102">
        <f t="shared" si="3"/>
        <v>9.885256419821244E-3</v>
      </c>
      <c r="F56" s="102">
        <f t="shared" si="4"/>
        <v>7.0447135537959945E-3</v>
      </c>
      <c r="G56" s="8"/>
      <c r="H56" s="8"/>
      <c r="I56" s="96"/>
      <c r="J56" s="102">
        <f t="shared" si="5"/>
        <v>0</v>
      </c>
      <c r="K56" s="102">
        <f t="shared" si="6"/>
        <v>0</v>
      </c>
      <c r="L56" s="102">
        <f t="shared" si="7"/>
        <v>0</v>
      </c>
      <c r="M56" s="102">
        <f t="shared" si="8"/>
        <v>0</v>
      </c>
      <c r="N56" s="102">
        <f t="shared" si="9"/>
        <v>0</v>
      </c>
    </row>
    <row r="57" spans="1:14">
      <c r="A57" s="96" t="s">
        <v>101</v>
      </c>
      <c r="B57" s="102">
        <f t="shared" si="0"/>
        <v>0.22331120847501962</v>
      </c>
      <c r="C57" s="102">
        <f t="shared" si="1"/>
        <v>0.22712124677361387</v>
      </c>
      <c r="D57" s="102">
        <f t="shared" si="2"/>
        <v>0.22592988297264394</v>
      </c>
      <c r="E57" s="102">
        <f t="shared" si="3"/>
        <v>0.21182798907772424</v>
      </c>
      <c r="F57" s="102">
        <f t="shared" si="4"/>
        <v>0.21190614811364694</v>
      </c>
      <c r="G57" s="8"/>
      <c r="H57" s="8"/>
      <c r="I57" s="96" t="s">
        <v>101</v>
      </c>
      <c r="J57" s="102">
        <f t="shared" si="5"/>
        <v>0.2388565747692673</v>
      </c>
      <c r="K57" s="102">
        <f t="shared" si="6"/>
        <v>0.24356964784211863</v>
      </c>
      <c r="L57" s="102">
        <f t="shared" si="7"/>
        <v>0.22023605071801805</v>
      </c>
      <c r="M57" s="102">
        <f t="shared" si="8"/>
        <v>0.21810003517621787</v>
      </c>
      <c r="N57" s="102">
        <f t="shared" si="9"/>
        <v>0.23777008698905622</v>
      </c>
    </row>
    <row r="58" spans="1:14">
      <c r="A58" s="96" t="s">
        <v>102</v>
      </c>
      <c r="B58" s="102">
        <f t="shared" si="0"/>
        <v>0.19831447815851425</v>
      </c>
      <c r="C58" s="102">
        <f t="shared" si="1"/>
        <v>0.20230666187473453</v>
      </c>
      <c r="D58" s="102">
        <f t="shared" si="2"/>
        <v>0.19344713063499558</v>
      </c>
      <c r="E58" s="102" t="e">
        <f t="shared" si="3"/>
        <v>#VALUE!</v>
      </c>
      <c r="F58" s="102">
        <f t="shared" si="4"/>
        <v>0.14972636236609221</v>
      </c>
      <c r="G58" s="8"/>
      <c r="H58" s="8"/>
      <c r="I58" s="96" t="s">
        <v>102</v>
      </c>
      <c r="J58" s="102">
        <f t="shared" si="5"/>
        <v>0.22705285336973619</v>
      </c>
      <c r="K58" s="102">
        <f t="shared" si="6"/>
        <v>0.21519847134518638</v>
      </c>
      <c r="L58" s="102">
        <f t="shared" si="7"/>
        <v>0.22265502247232069</v>
      </c>
      <c r="M58" s="102">
        <f t="shared" si="8"/>
        <v>0.23923570311272108</v>
      </c>
      <c r="N58" s="102">
        <f t="shared" si="9"/>
        <v>0.23280485143266921</v>
      </c>
    </row>
    <row r="59" spans="1:14">
      <c r="A59" s="96" t="s">
        <v>103</v>
      </c>
      <c r="B59" s="102">
        <f t="shared" si="0"/>
        <v>4.2603975935129476E-2</v>
      </c>
      <c r="C59" s="102">
        <f t="shared" si="1"/>
        <v>1.0675662430163034E-2</v>
      </c>
      <c r="D59" s="102">
        <f t="shared" si="2"/>
        <v>0.23143753985804325</v>
      </c>
      <c r="E59" s="102">
        <f t="shared" si="3"/>
        <v>1.2235336247929691E-3</v>
      </c>
      <c r="F59" s="102">
        <f t="shared" si="4"/>
        <v>0.11243595714951095</v>
      </c>
      <c r="G59" s="8"/>
      <c r="H59" s="8"/>
      <c r="I59" s="96" t="s">
        <v>103</v>
      </c>
      <c r="J59" s="102">
        <f t="shared" si="5"/>
        <v>1.1343739798795145E-2</v>
      </c>
      <c r="K59" s="102">
        <f t="shared" si="6"/>
        <v>4.2135041127382922E-2</v>
      </c>
      <c r="L59" s="102">
        <f t="shared" si="7"/>
        <v>8.0973435159133259E-3</v>
      </c>
      <c r="M59" s="102">
        <f t="shared" si="8"/>
        <v>2.8073615591297254E-2</v>
      </c>
      <c r="N59" s="102">
        <f t="shared" si="9"/>
        <v>1.0109749633648239E-2</v>
      </c>
    </row>
    <row r="60" spans="1:14" ht="27">
      <c r="A60" s="96" t="s">
        <v>104</v>
      </c>
      <c r="B60" s="102">
        <f t="shared" si="0"/>
        <v>1.9658972011509287E-2</v>
      </c>
      <c r="C60" s="102">
        <f t="shared" si="1"/>
        <v>1.1467964844643382E-2</v>
      </c>
      <c r="D60" s="102">
        <f t="shared" si="2"/>
        <v>4.8376276492657841E-2</v>
      </c>
      <c r="E60" s="102">
        <f t="shared" si="3"/>
        <v>6.9883167459974041E-2</v>
      </c>
      <c r="F60" s="102">
        <f t="shared" si="4"/>
        <v>-8.4187238006520719E-3</v>
      </c>
      <c r="G60" s="8"/>
      <c r="H60" s="8"/>
      <c r="I60" s="96" t="s">
        <v>104</v>
      </c>
      <c r="J60" s="102">
        <f t="shared" si="5"/>
        <v>2.0328219129299345E-3</v>
      </c>
      <c r="K60" s="102">
        <f t="shared" si="6"/>
        <v>-7.2775314613283178E-3</v>
      </c>
      <c r="L60" s="102">
        <f t="shared" si="7"/>
        <v>1.6837797347169951E-2</v>
      </c>
      <c r="M60" s="102">
        <f t="shared" si="8"/>
        <v>3.3761684865993576E-2</v>
      </c>
      <c r="N60" s="102">
        <f t="shared" si="9"/>
        <v>-2.7203566863093567E-3</v>
      </c>
    </row>
    <row r="61" spans="1:14">
      <c r="A61" s="96"/>
      <c r="B61" s="102">
        <f t="shared" si="0"/>
        <v>0</v>
      </c>
      <c r="C61" s="102">
        <f t="shared" si="1"/>
        <v>0</v>
      </c>
      <c r="D61" s="102">
        <f t="shared" si="2"/>
        <v>0</v>
      </c>
      <c r="E61" s="102">
        <f t="shared" si="3"/>
        <v>0</v>
      </c>
      <c r="F61" s="102">
        <f t="shared" si="4"/>
        <v>0</v>
      </c>
      <c r="G61" s="8"/>
      <c r="H61" s="8"/>
      <c r="I61" s="96"/>
      <c r="J61" s="102">
        <f t="shared" si="5"/>
        <v>0</v>
      </c>
      <c r="K61" s="102">
        <f t="shared" si="6"/>
        <v>0</v>
      </c>
      <c r="L61" s="102">
        <f t="shared" si="7"/>
        <v>0</v>
      </c>
      <c r="M61" s="102">
        <f t="shared" si="8"/>
        <v>0</v>
      </c>
      <c r="N61" s="102">
        <f t="shared" si="9"/>
        <v>0</v>
      </c>
    </row>
    <row r="62" spans="1:14">
      <c r="A62" s="96"/>
      <c r="B62" s="102">
        <f t="shared" si="0"/>
        <v>0</v>
      </c>
      <c r="C62" s="102">
        <f t="shared" si="1"/>
        <v>0</v>
      </c>
      <c r="D62" s="102">
        <f t="shared" si="2"/>
        <v>0</v>
      </c>
      <c r="E62" s="102">
        <f t="shared" si="3"/>
        <v>0</v>
      </c>
      <c r="F62" s="102">
        <f t="shared" si="4"/>
        <v>0</v>
      </c>
      <c r="G62" s="8"/>
      <c r="H62" s="8"/>
      <c r="I62" s="96" t="s">
        <v>129</v>
      </c>
      <c r="J62" s="102">
        <f t="shared" si="5"/>
        <v>2.492803513665905E-3</v>
      </c>
      <c r="K62" s="102">
        <f t="shared" si="6"/>
        <v>2.642303730574589E-3</v>
      </c>
      <c r="L62" s="102">
        <f t="shared" si="7"/>
        <v>1.0669784777286512E-3</v>
      </c>
      <c r="M62" s="102">
        <f t="shared" si="8"/>
        <v>3.5924648050713627E-4</v>
      </c>
      <c r="N62" s="102">
        <f t="shared" si="9"/>
        <v>5.066566894272441E-4</v>
      </c>
    </row>
    <row r="63" spans="1:14">
      <c r="A63" s="96" t="s">
        <v>105</v>
      </c>
      <c r="B63" s="102">
        <f t="shared" si="0"/>
        <v>1.6258501177086059E-2</v>
      </c>
      <c r="C63" s="102">
        <f t="shared" si="1"/>
        <v>1.3681510765511157E-2</v>
      </c>
      <c r="D63" s="102">
        <f t="shared" si="2"/>
        <v>1.4833403731955177E-2</v>
      </c>
      <c r="E63" s="102">
        <f t="shared" si="3"/>
        <v>4.4987242423790265E-3</v>
      </c>
      <c r="F63" s="102">
        <f t="shared" si="4"/>
        <v>5.5309734513274336E-4</v>
      </c>
      <c r="G63" s="8"/>
      <c r="H63" s="8"/>
      <c r="I63" s="96" t="s">
        <v>105</v>
      </c>
      <c r="J63" s="102">
        <f t="shared" si="5"/>
        <v>-3.9321007804849097E-4</v>
      </c>
      <c r="K63" s="102">
        <f t="shared" si="6"/>
        <v>-3.9559914610297521E-4</v>
      </c>
      <c r="L63" s="102">
        <f t="shared" si="7"/>
        <v>3.2155515767164831E-4</v>
      </c>
      <c r="M63" s="102">
        <f t="shared" si="8"/>
        <v>1.0852237431986408E-3</v>
      </c>
      <c r="N63" s="102">
        <f t="shared" si="9"/>
        <v>-3.5076232344963054E-4</v>
      </c>
    </row>
    <row r="64" spans="1:14">
      <c r="A64" s="96" t="s">
        <v>106</v>
      </c>
      <c r="B64" s="102">
        <f t="shared" si="0"/>
        <v>5.5135037928328537E-2</v>
      </c>
      <c r="C64" s="102">
        <f t="shared" si="1"/>
        <v>5.466069853301532E-2</v>
      </c>
      <c r="D64" s="102">
        <f t="shared" si="2"/>
        <v>5.0844369352581145E-2</v>
      </c>
      <c r="E64" s="102">
        <f t="shared" si="3"/>
        <v>4.9955982631790984E-2</v>
      </c>
      <c r="F64" s="102">
        <f t="shared" si="4"/>
        <v>4.6052631578947366E-2</v>
      </c>
      <c r="G64" s="8"/>
      <c r="H64" s="8"/>
      <c r="I64" s="96" t="s">
        <v>106</v>
      </c>
      <c r="J64" s="102">
        <f t="shared" si="5"/>
        <v>4.9358993382200199E-2</v>
      </c>
      <c r="K64" s="102">
        <f t="shared" si="6"/>
        <v>4.123934494752713E-2</v>
      </c>
      <c r="L64" s="102">
        <f t="shared" si="7"/>
        <v>2.6177513063178282E-2</v>
      </c>
      <c r="M64" s="102">
        <f t="shared" si="8"/>
        <v>2.6180087266957558E-2</v>
      </c>
      <c r="N64" s="102">
        <f t="shared" si="9"/>
        <v>3.3314626009416017E-2</v>
      </c>
    </row>
    <row r="65" spans="1:14">
      <c r="A65" s="96" t="s">
        <v>107</v>
      </c>
      <c r="B65" s="102">
        <f t="shared" si="0"/>
        <v>5.6459259743656814E-2</v>
      </c>
      <c r="C65" s="102">
        <f t="shared" si="1"/>
        <v>5.6122782370046066E-2</v>
      </c>
      <c r="D65" s="102">
        <f t="shared" si="2"/>
        <v>5.228547055267059E-2</v>
      </c>
      <c r="E65" s="102">
        <f t="shared" si="3"/>
        <v>5.1246661394529908E-2</v>
      </c>
      <c r="F65" s="102">
        <f t="shared" si="4"/>
        <v>4.6768747088961345E-2</v>
      </c>
      <c r="G65" s="8"/>
      <c r="H65" s="8"/>
      <c r="I65" s="96" t="s">
        <v>107</v>
      </c>
      <c r="J65" s="102">
        <f t="shared" si="5"/>
        <v>5.6503546309760511E-2</v>
      </c>
      <c r="K65" s="102">
        <f t="shared" si="6"/>
        <v>5.4809142072342394E-2</v>
      </c>
      <c r="L65" s="102">
        <f t="shared" si="7"/>
        <v>4.1012898746665694E-2</v>
      </c>
      <c r="M65" s="102">
        <f t="shared" si="8"/>
        <v>3.9958686654741678E-2</v>
      </c>
      <c r="N65" s="102">
        <f t="shared" si="9"/>
        <v>3.7640694665294794E-2</v>
      </c>
    </row>
    <row r="66" spans="1:14">
      <c r="A66" s="96" t="s">
        <v>108</v>
      </c>
      <c r="B66" s="102">
        <f t="shared" si="0"/>
        <v>1.3242218153282762E-3</v>
      </c>
      <c r="C66" s="102">
        <f t="shared" si="1"/>
        <v>1.4620838370307445E-3</v>
      </c>
      <c r="D66" s="102">
        <f t="shared" si="2"/>
        <v>1.4411012000894476E-3</v>
      </c>
      <c r="E66" s="102">
        <f t="shared" si="3"/>
        <v>1.2906787627389247E-3</v>
      </c>
      <c r="F66" s="102">
        <f t="shared" si="4"/>
        <v>7.1611551001397303E-4</v>
      </c>
      <c r="G66" s="8"/>
      <c r="H66" s="8"/>
      <c r="I66" s="96" t="s">
        <v>108</v>
      </c>
      <c r="J66" s="102">
        <f t="shared" si="5"/>
        <v>7.1445529275603169E-3</v>
      </c>
      <c r="K66" s="102">
        <f t="shared" si="6"/>
        <v>1.3569797124815262E-2</v>
      </c>
      <c r="L66" s="102">
        <f t="shared" si="7"/>
        <v>1.4835385683487412E-2</v>
      </c>
      <c r="M66" s="102">
        <f t="shared" si="8"/>
        <v>1.3778599387784123E-2</v>
      </c>
      <c r="N66" s="102">
        <f t="shared" si="9"/>
        <v>4.3260686558787764E-3</v>
      </c>
    </row>
    <row r="67" spans="1:14">
      <c r="A67" s="96" t="s">
        <v>109</v>
      </c>
      <c r="B67" s="102">
        <f t="shared" si="0"/>
        <v>0.13649293748365157</v>
      </c>
      <c r="C67" s="102">
        <f t="shared" si="1"/>
        <v>0.16211977652171072</v>
      </c>
      <c r="D67" s="102">
        <f t="shared" si="2"/>
        <v>-2.5625098351015809E-2</v>
      </c>
      <c r="E67" s="102">
        <f t="shared" si="3"/>
        <v>0.21763231322460794</v>
      </c>
      <c r="F67" s="102">
        <f t="shared" si="4"/>
        <v>-1.6627852817885421E-2</v>
      </c>
      <c r="G67" s="8"/>
      <c r="H67" s="8"/>
      <c r="I67" s="96" t="s">
        <v>109</v>
      </c>
      <c r="J67" s="102">
        <f t="shared" si="5"/>
        <v>0.17048253553728818</v>
      </c>
      <c r="K67" s="102">
        <f t="shared" si="6"/>
        <v>0.12679325839341962</v>
      </c>
      <c r="L67" s="102">
        <f t="shared" si="7"/>
        <v>0.20660649687579932</v>
      </c>
      <c r="M67" s="102">
        <f t="shared" si="8"/>
        <v>0.22018815534416561</v>
      </c>
      <c r="N67" s="102">
        <f t="shared" si="9"/>
        <v>0.18681601346927321</v>
      </c>
    </row>
    <row r="68" spans="1:14">
      <c r="A68" s="96" t="s">
        <v>110</v>
      </c>
      <c r="B68" s="102">
        <f t="shared" si="0"/>
        <v>3.6334357834161654E-2</v>
      </c>
      <c r="C68" s="102">
        <f t="shared" si="1"/>
        <v>3.4510079393602767E-2</v>
      </c>
      <c r="D68" s="102">
        <f t="shared" si="2"/>
        <v>3.1306681243322483E-2</v>
      </c>
      <c r="E68" s="102">
        <f t="shared" si="3"/>
        <v>4.0249779913158958E-2</v>
      </c>
      <c r="F68" s="102">
        <f t="shared" si="4"/>
        <v>5.6183046110852355E-3</v>
      </c>
      <c r="G68" s="8"/>
      <c r="H68" s="8"/>
      <c r="I68" s="96" t="s">
        <v>110</v>
      </c>
      <c r="J68" s="102">
        <f t="shared" si="5"/>
        <v>3.7317862124224707E-2</v>
      </c>
      <c r="K68" s="102">
        <f t="shared" si="6"/>
        <v>3.6514547598787826E-2</v>
      </c>
      <c r="L68" s="102">
        <f t="shared" si="7"/>
        <v>4.7670552124821866E-2</v>
      </c>
      <c r="M68" s="102">
        <f t="shared" si="8"/>
        <v>5.0908220008532103E-2</v>
      </c>
      <c r="N68" s="102">
        <f t="shared" si="9"/>
        <v>4.3798522121410534E-2</v>
      </c>
    </row>
    <row r="69" spans="1:14">
      <c r="A69" s="96" t="s">
        <v>111</v>
      </c>
      <c r="B69" s="102">
        <f t="shared" si="0"/>
        <v>2.9656029296364111E-2</v>
      </c>
      <c r="C69" s="102">
        <f t="shared" si="1"/>
        <v>2.2078282745777111E-2</v>
      </c>
      <c r="D69" s="102">
        <f t="shared" si="2"/>
        <v>4.969314483067061E-3</v>
      </c>
      <c r="E69" s="102">
        <f t="shared" si="3"/>
        <v>-1.5749265133768037E-2</v>
      </c>
      <c r="F69" s="102">
        <f t="shared" si="4"/>
        <v>-4.0346995808104328E-3</v>
      </c>
      <c r="G69" s="8"/>
      <c r="H69" s="8"/>
      <c r="I69" s="96" t="s">
        <v>111</v>
      </c>
      <c r="J69" s="102">
        <f t="shared" si="5"/>
        <v>2.9490755853636821E-2</v>
      </c>
      <c r="K69" s="102">
        <f t="shared" si="6"/>
        <v>1.7055548091420722E-2</v>
      </c>
      <c r="L69" s="102">
        <f t="shared" si="7"/>
        <v>2.4474732341871596E-2</v>
      </c>
      <c r="M69" s="102">
        <f t="shared" si="8"/>
        <v>1.7139050840861293E-2</v>
      </c>
      <c r="N69" s="102">
        <f t="shared" si="9"/>
        <v>3.0453964393726812E-2</v>
      </c>
    </row>
    <row r="70" spans="1:14">
      <c r="A70" s="96" t="s">
        <v>112</v>
      </c>
      <c r="B70" s="102">
        <f t="shared" si="0"/>
        <v>5.5584619408841226E-4</v>
      </c>
      <c r="C70" s="102">
        <f t="shared" si="1"/>
        <v>5.3909236449178291E-4</v>
      </c>
      <c r="D70" s="102">
        <f t="shared" si="2"/>
        <v>8.779122253418474E-4</v>
      </c>
      <c r="E70" s="102">
        <f t="shared" si="3"/>
        <v>-4.9239767827034125E-4</v>
      </c>
      <c r="F70" s="102">
        <f t="shared" si="4"/>
        <v>2.4045179319981368E-3</v>
      </c>
      <c r="G70" s="8"/>
      <c r="H70" s="8"/>
      <c r="I70" s="96" t="s">
        <v>112</v>
      </c>
      <c r="J70" s="102">
        <f t="shared" si="5"/>
        <v>1.7805739383327892E-3</v>
      </c>
      <c r="K70" s="102">
        <f t="shared" si="6"/>
        <v>1.634645528236822E-3</v>
      </c>
      <c r="L70" s="102">
        <f t="shared" si="7"/>
        <v>1.4689224248182118E-3</v>
      </c>
      <c r="M70" s="102">
        <f t="shared" si="8"/>
        <v>1.8561068159535375E-3</v>
      </c>
      <c r="N70" s="102">
        <f t="shared" si="9"/>
        <v>1.2393602095220279E-3</v>
      </c>
    </row>
    <row r="71" spans="1:14" ht="27">
      <c r="A71" s="96" t="s">
        <v>113</v>
      </c>
      <c r="B71" s="102">
        <f t="shared" si="0"/>
        <v>6.3513601883337691E-3</v>
      </c>
      <c r="C71" s="102">
        <f t="shared" si="1"/>
        <v>1.158231777044467E-2</v>
      </c>
      <c r="D71" s="102">
        <f t="shared" si="2"/>
        <v>2.5823870930338493E-2</v>
      </c>
      <c r="E71" s="102">
        <f t="shared" si="3"/>
        <v>5.6103493039287369E-2</v>
      </c>
      <c r="F71" s="102">
        <f t="shared" si="4"/>
        <v>7.5803446669771776E-3</v>
      </c>
      <c r="G71" s="8"/>
      <c r="H71" s="8"/>
      <c r="I71" s="96" t="s">
        <v>113</v>
      </c>
      <c r="J71" s="102">
        <f t="shared" si="5"/>
        <v>6.0762085645606435E-3</v>
      </c>
      <c r="K71" s="102">
        <f t="shared" si="6"/>
        <v>1.7615358203830592E-2</v>
      </c>
      <c r="L71" s="102">
        <f t="shared" si="7"/>
        <v>2.1887674936967881E-2</v>
      </c>
      <c r="M71" s="102">
        <f t="shared" si="8"/>
        <v>3.2639039614408775E-2</v>
      </c>
      <c r="N71" s="102">
        <f t="shared" si="9"/>
        <v>1.2097402799862813E-2</v>
      </c>
    </row>
    <row r="72" spans="1:14">
      <c r="A72" s="96" t="s">
        <v>114</v>
      </c>
      <c r="B72" s="102">
        <f t="shared" si="0"/>
        <v>-2.2887784462464033E-4</v>
      </c>
      <c r="C72" s="102">
        <f t="shared" si="1"/>
        <v>3.1038651288920838E-4</v>
      </c>
      <c r="D72" s="102">
        <f t="shared" si="2"/>
        <v>-3.644163954249178E-4</v>
      </c>
      <c r="E72" s="102">
        <f t="shared" si="3"/>
        <v>3.8794968590996582E-4</v>
      </c>
      <c r="F72" s="102">
        <f t="shared" si="4"/>
        <v>-3.3185840707964601E-4</v>
      </c>
      <c r="G72" s="8"/>
      <c r="H72" s="8"/>
      <c r="I72" s="96" t="s">
        <v>114</v>
      </c>
      <c r="J72" s="102">
        <f t="shared" si="5"/>
        <v>-2.9676232305546488E-5</v>
      </c>
      <c r="K72" s="102">
        <f t="shared" si="6"/>
        <v>2.0899577529968501E-4</v>
      </c>
      <c r="L72" s="102">
        <f t="shared" si="7"/>
        <v>-1.6077757883582416E-4</v>
      </c>
      <c r="M72" s="102">
        <f t="shared" si="8"/>
        <v>-7.2597726269150455E-4</v>
      </c>
      <c r="N72" s="102">
        <f t="shared" si="9"/>
        <v>7.794718298880679E-6</v>
      </c>
    </row>
    <row r="73" spans="1:14">
      <c r="A73" s="96" t="s">
        <v>115</v>
      </c>
      <c r="B73" s="102">
        <f t="shared" si="0"/>
        <v>0.10015857964948993</v>
      </c>
      <c r="C73" s="102">
        <f t="shared" si="1"/>
        <v>0.12760969712810796</v>
      </c>
      <c r="D73" s="102">
        <f t="shared" si="2"/>
        <v>-5.6931779594338296E-2</v>
      </c>
      <c r="E73" s="102">
        <f t="shared" si="3"/>
        <v>0.17738253331144899</v>
      </c>
      <c r="F73" s="102">
        <f t="shared" si="4"/>
        <v>-2.2246157428970657E-2</v>
      </c>
      <c r="G73" s="8"/>
      <c r="H73" s="8"/>
      <c r="I73" s="96" t="s">
        <v>115</v>
      </c>
      <c r="J73" s="102">
        <f t="shared" si="5"/>
        <v>0.13316467341306348</v>
      </c>
      <c r="K73" s="102">
        <f t="shared" si="6"/>
        <v>9.0278710794631789E-2</v>
      </c>
      <c r="L73" s="102">
        <f t="shared" si="7"/>
        <v>0.15893594475097744</v>
      </c>
      <c r="M73" s="102">
        <f t="shared" si="8"/>
        <v>0.16927993533563351</v>
      </c>
      <c r="N73" s="102">
        <f t="shared" si="9"/>
        <v>0.14301749134786268</v>
      </c>
    </row>
    <row r="74" spans="1:14">
      <c r="A74" s="96" t="s">
        <v>116</v>
      </c>
      <c r="B74" s="102">
        <f t="shared" si="0"/>
        <v>1.0667342401255558E-2</v>
      </c>
      <c r="C74" s="102">
        <f t="shared" si="1"/>
        <v>9.9895448753553103E-3</v>
      </c>
      <c r="D74" s="102">
        <f t="shared" si="2"/>
        <v>1.2166538292709188E-2</v>
      </c>
      <c r="E74" s="102">
        <f t="shared" si="3"/>
        <v>1.0429878094271774E-2</v>
      </c>
      <c r="F74" s="102">
        <f t="shared" si="4"/>
        <v>7.888914764788077E-3</v>
      </c>
      <c r="G74" s="8"/>
      <c r="H74" s="8"/>
      <c r="I74" s="96" t="s">
        <v>116</v>
      </c>
      <c r="J74" s="102">
        <f t="shared" si="5"/>
        <v>3.2866427278392734E-3</v>
      </c>
      <c r="K74" s="102">
        <f t="shared" si="6"/>
        <v>3.5902488542553031E-3</v>
      </c>
      <c r="L74" s="102">
        <f t="shared" si="7"/>
        <v>3.5955713085102496E-3</v>
      </c>
      <c r="M74" s="102">
        <f t="shared" si="8"/>
        <v>4.1388188275092996E-3</v>
      </c>
      <c r="N74" s="102">
        <f t="shared" si="9"/>
        <v>4.2637109094877312E-3</v>
      </c>
    </row>
    <row r="75" spans="1:14">
      <c r="A75" s="96" t="s">
        <v>117</v>
      </c>
      <c r="B75" s="102">
        <f t="shared" si="0"/>
        <v>8.9491237248234365E-2</v>
      </c>
      <c r="C75" s="102">
        <f t="shared" si="1"/>
        <v>0.11762015225275264</v>
      </c>
      <c r="D75" s="102">
        <f t="shared" si="2"/>
        <v>-6.9098317887047483E-2</v>
      </c>
      <c r="E75" s="102">
        <f t="shared" si="3"/>
        <v>0.16695265521717723</v>
      </c>
      <c r="F75" s="102">
        <f t="shared" si="4"/>
        <v>-3.0135072193758734E-2</v>
      </c>
      <c r="G75" s="8"/>
      <c r="H75" s="8"/>
      <c r="I75" s="96" t="s">
        <v>117</v>
      </c>
      <c r="J75" s="102">
        <f t="shared" si="5"/>
        <v>0.12987803068522422</v>
      </c>
      <c r="K75" s="102">
        <f t="shared" si="6"/>
        <v>8.6688461940376493E-2</v>
      </c>
      <c r="L75" s="102">
        <f t="shared" si="7"/>
        <v>0.15534037344246721</v>
      </c>
      <c r="M75" s="102">
        <f t="shared" si="8"/>
        <v>0.16514111650812421</v>
      </c>
      <c r="N75" s="102">
        <f t="shared" si="9"/>
        <v>0.13875378043837497</v>
      </c>
    </row>
    <row r="76" spans="1:14" ht="27">
      <c r="A76" s="96" t="s">
        <v>118</v>
      </c>
      <c r="B76" s="102"/>
      <c r="C76" s="102"/>
      <c r="D76" s="102">
        <f t="shared" si="2"/>
        <v>-1.49907653572523E-3</v>
      </c>
      <c r="E76" s="102">
        <f t="shared" si="3"/>
        <v>-1.7136931317984452E-2</v>
      </c>
      <c r="F76" s="102"/>
      <c r="G76" s="8"/>
      <c r="H76" s="8"/>
      <c r="I76" s="96"/>
      <c r="J76" s="102">
        <f t="shared" si="5"/>
        <v>0</v>
      </c>
      <c r="K76" s="102">
        <f t="shared" si="6"/>
        <v>0</v>
      </c>
      <c r="L76" s="102">
        <f t="shared" si="7"/>
        <v>0</v>
      </c>
      <c r="M76" s="102">
        <f t="shared" si="8"/>
        <v>0</v>
      </c>
      <c r="N76" s="102">
        <f t="shared" si="9"/>
        <v>0</v>
      </c>
    </row>
    <row r="77" spans="1:14">
      <c r="A77" s="96" t="s">
        <v>119</v>
      </c>
      <c r="B77" s="102"/>
      <c r="C77" s="102"/>
      <c r="D77" s="102">
        <f t="shared" si="2"/>
        <v>-1.49907653572523E-3</v>
      </c>
      <c r="E77" s="102">
        <f t="shared" si="3"/>
        <v>-1.7136931317984452E-2</v>
      </c>
      <c r="F77" s="102"/>
      <c r="G77" s="8"/>
      <c r="H77" s="8"/>
      <c r="I77" s="96"/>
      <c r="J77" s="102">
        <f t="shared" si="5"/>
        <v>0</v>
      </c>
      <c r="K77" s="102">
        <f t="shared" si="6"/>
        <v>0</v>
      </c>
      <c r="L77" s="102">
        <f t="shared" si="7"/>
        <v>0</v>
      </c>
      <c r="M77" s="102">
        <f t="shared" si="8"/>
        <v>0</v>
      </c>
      <c r="N77" s="102">
        <f t="shared" si="9"/>
        <v>0</v>
      </c>
    </row>
    <row r="78" spans="1:14" ht="27">
      <c r="A78" s="96" t="s">
        <v>120</v>
      </c>
      <c r="B78" s="102">
        <f t="shared" ref="B78:B88" si="10">B33/$B$3</f>
        <v>8.9491237248234365E-2</v>
      </c>
      <c r="C78" s="102">
        <f t="shared" ref="C78:C88" si="11">C33/$C$3</f>
        <v>0.11762015225275264</v>
      </c>
      <c r="D78" s="102">
        <f t="shared" si="2"/>
        <v>-6.7599241351322253E-2</v>
      </c>
      <c r="E78" s="102">
        <f t="shared" si="3"/>
        <v>0.18408958653516166</v>
      </c>
      <c r="F78" s="102">
        <f t="shared" ref="F78:F88" si="12">F33/$F$3</f>
        <v>-3.0135072193758734E-2</v>
      </c>
      <c r="G78" s="8"/>
      <c r="H78" s="8"/>
      <c r="I78" s="96" t="s">
        <v>120</v>
      </c>
      <c r="J78" s="102">
        <f t="shared" si="5"/>
        <v>0.12987803068522422</v>
      </c>
      <c r="K78" s="102">
        <f t="shared" si="6"/>
        <v>8.6688461940376493E-2</v>
      </c>
      <c r="L78" s="102">
        <f t="shared" si="7"/>
        <v>0.15534037344246721</v>
      </c>
      <c r="M78" s="102">
        <f t="shared" si="8"/>
        <v>0.16514111650812421</v>
      </c>
      <c r="N78" s="102">
        <f t="shared" si="9"/>
        <v>0.13875378043837497</v>
      </c>
    </row>
    <row r="79" spans="1:14">
      <c r="A79" s="96" t="s">
        <v>121</v>
      </c>
      <c r="B79" s="102">
        <f t="shared" si="10"/>
        <v>1.6511901647920481E-3</v>
      </c>
      <c r="C79" s="102">
        <f t="shared" si="11"/>
        <v>1.6989577547619826E-3</v>
      </c>
      <c r="D79" s="102">
        <f t="shared" si="2"/>
        <v>1.681284733437689E-3</v>
      </c>
      <c r="E79" s="102">
        <f t="shared" si="3"/>
        <v>1.5443381727569794E-3</v>
      </c>
      <c r="F79" s="102">
        <f t="shared" si="12"/>
        <v>1.1236609222170469E-3</v>
      </c>
      <c r="G79" s="8"/>
      <c r="H79" s="8"/>
      <c r="I79" s="96"/>
      <c r="J79" s="102">
        <f t="shared" si="5"/>
        <v>0</v>
      </c>
      <c r="K79" s="102">
        <f t="shared" si="6"/>
        <v>0</v>
      </c>
      <c r="L79" s="102">
        <f t="shared" si="7"/>
        <v>0</v>
      </c>
      <c r="M79" s="102">
        <f t="shared" si="8"/>
        <v>0</v>
      </c>
      <c r="N79" s="102">
        <f t="shared" si="9"/>
        <v>0</v>
      </c>
    </row>
    <row r="80" spans="1:14" ht="27">
      <c r="A80" s="96" t="s">
        <v>122</v>
      </c>
      <c r="B80" s="102">
        <f t="shared" si="10"/>
        <v>8.7840047083442327E-2</v>
      </c>
      <c r="C80" s="102">
        <f t="shared" si="11"/>
        <v>0.11592119449799065</v>
      </c>
      <c r="D80" s="102">
        <f t="shared" si="2"/>
        <v>-7.2278679156210404E-2</v>
      </c>
      <c r="E80" s="102">
        <f t="shared" si="3"/>
        <v>0.14827138572643578</v>
      </c>
      <c r="F80" s="102">
        <f t="shared" si="12"/>
        <v>-3.1258733115975781E-2</v>
      </c>
      <c r="G80" s="8"/>
      <c r="H80" s="8"/>
      <c r="I80" s="96" t="s">
        <v>122</v>
      </c>
      <c r="J80" s="102">
        <f t="shared" si="5"/>
        <v>0.12987803068522422</v>
      </c>
      <c r="K80" s="102">
        <f t="shared" si="6"/>
        <v>8.6688461940376493E-2</v>
      </c>
      <c r="L80" s="102">
        <f t="shared" si="7"/>
        <v>0.15534037344246721</v>
      </c>
      <c r="M80" s="102">
        <f t="shared" si="8"/>
        <v>0.16514111650812421</v>
      </c>
      <c r="N80" s="102">
        <f t="shared" si="9"/>
        <v>0.13875378043837497</v>
      </c>
    </row>
    <row r="81" spans="1:14">
      <c r="A81" s="96" t="s">
        <v>123</v>
      </c>
      <c r="B81" s="102">
        <f t="shared" si="10"/>
        <v>1.2179571017525503E-5</v>
      </c>
      <c r="C81" s="102">
        <f t="shared" si="11"/>
        <v>1.6091090273466852E-5</v>
      </c>
      <c r="D81" s="102">
        <f t="shared" si="2"/>
        <v>-1.0104272782236357E-5</v>
      </c>
      <c r="E81" s="102">
        <f t="shared" si="3"/>
        <v>2.0367358510273206E-5</v>
      </c>
      <c r="F81" s="102">
        <f t="shared" si="12"/>
        <v>-4.3665579878900792E-6</v>
      </c>
      <c r="G81" s="8"/>
      <c r="H81" s="8"/>
      <c r="I81" s="96" t="s">
        <v>123</v>
      </c>
      <c r="J81" s="102">
        <f t="shared" si="5"/>
        <v>3.0789091017004486E-5</v>
      </c>
      <c r="K81" s="102">
        <f t="shared" si="6"/>
        <v>2.0601012136683234E-5</v>
      </c>
      <c r="L81" s="102">
        <f t="shared" si="7"/>
        <v>3.6978843132239553E-5</v>
      </c>
      <c r="M81" s="102">
        <f t="shared" si="8"/>
        <v>3.9816484922874275E-5</v>
      </c>
      <c r="N81" s="102">
        <f t="shared" si="9"/>
        <v>3.3517288685186919E-5</v>
      </c>
    </row>
    <row r="82" spans="1:14">
      <c r="A82" s="96"/>
      <c r="B82" s="102">
        <f t="shared" si="10"/>
        <v>0</v>
      </c>
      <c r="C82" s="102">
        <f t="shared" si="11"/>
        <v>0</v>
      </c>
      <c r="D82" s="102">
        <f t="shared" si="2"/>
        <v>0</v>
      </c>
      <c r="E82" s="102">
        <f t="shared" si="3"/>
        <v>0</v>
      </c>
      <c r="F82" s="102">
        <f t="shared" si="12"/>
        <v>0</v>
      </c>
      <c r="G82" s="8"/>
      <c r="H82" s="8"/>
      <c r="I82" s="96"/>
      <c r="J82" s="102">
        <f t="shared" si="5"/>
        <v>3.1293586966198772E-2</v>
      </c>
      <c r="K82" s="102">
        <f t="shared" si="6"/>
        <v>3.14314717781062E-2</v>
      </c>
      <c r="L82" s="102">
        <f t="shared" si="7"/>
        <v>3.0708517557642416E-2</v>
      </c>
      <c r="M82" s="102">
        <f t="shared" si="8"/>
        <v>3.1044883357158361E-2</v>
      </c>
      <c r="N82" s="102">
        <f t="shared" si="9"/>
        <v>3.227013375736601E-2</v>
      </c>
    </row>
    <row r="83" spans="1:14">
      <c r="A83" s="96" t="s">
        <v>124</v>
      </c>
      <c r="B83" s="102">
        <f t="shared" si="10"/>
        <v>5.8846128694742351E-2</v>
      </c>
      <c r="C83" s="102">
        <f t="shared" si="11"/>
        <v>5.8654882869931715E-2</v>
      </c>
      <c r="D83" s="102">
        <f t="shared" si="2"/>
        <v>5.9350179309430928E-2</v>
      </c>
      <c r="E83" s="102">
        <f t="shared" si="3"/>
        <v>5.3477372088512214E-2</v>
      </c>
      <c r="F83" s="102">
        <f t="shared" si="12"/>
        <v>4.1668607359105728E-2</v>
      </c>
      <c r="G83" s="8"/>
      <c r="H83" s="8"/>
      <c r="I83" s="96" t="s">
        <v>124</v>
      </c>
      <c r="J83" s="102">
        <f t="shared" si="5"/>
        <v>3.1293586966198772E-2</v>
      </c>
      <c r="K83" s="102">
        <f t="shared" si="6"/>
        <v>3.14314717781062E-2</v>
      </c>
      <c r="L83" s="102">
        <f t="shared" si="7"/>
        <v>3.0708517557642416E-2</v>
      </c>
      <c r="M83" s="102">
        <f t="shared" si="8"/>
        <v>3.1044883357158361E-2</v>
      </c>
      <c r="N83" s="102">
        <f t="shared" si="9"/>
        <v>3.227013375736601E-2</v>
      </c>
    </row>
    <row r="84" spans="1:14">
      <c r="A84" s="96" t="s">
        <v>125</v>
      </c>
      <c r="B84" s="102">
        <f t="shared" si="10"/>
        <v>1.2179571017525503E-5</v>
      </c>
      <c r="C84" s="102">
        <f t="shared" si="11"/>
        <v>1.6091090273466852E-5</v>
      </c>
      <c r="D84" s="102">
        <f t="shared" si="2"/>
        <v>-1.0104272782236357E-5</v>
      </c>
      <c r="E84" s="102">
        <f t="shared" si="3"/>
        <v>2.0367358510273206E-5</v>
      </c>
      <c r="F84" s="102">
        <f t="shared" si="12"/>
        <v>-4.3665579878900792E-6</v>
      </c>
      <c r="G84" s="8"/>
      <c r="H84" s="8"/>
      <c r="I84" s="96" t="s">
        <v>125</v>
      </c>
      <c r="J84" s="102">
        <f t="shared" si="5"/>
        <v>3.0789091017004486E-5</v>
      </c>
      <c r="K84" s="102">
        <f t="shared" si="6"/>
        <v>2.0601012136683234E-5</v>
      </c>
      <c r="L84" s="102">
        <f t="shared" si="7"/>
        <v>3.6978843132239553E-5</v>
      </c>
      <c r="M84" s="102">
        <f t="shared" si="8"/>
        <v>3.9816484922874275E-5</v>
      </c>
      <c r="N84" s="102">
        <f t="shared" si="9"/>
        <v>3.3517288685186919E-5</v>
      </c>
    </row>
    <row r="85" spans="1:14">
      <c r="A85" s="96"/>
      <c r="B85" s="102">
        <f t="shared" si="10"/>
        <v>0</v>
      </c>
      <c r="C85" s="102">
        <f t="shared" si="11"/>
        <v>0</v>
      </c>
      <c r="D85" s="102">
        <f t="shared" si="2"/>
        <v>0</v>
      </c>
      <c r="E85" s="102">
        <f t="shared" si="3"/>
        <v>0</v>
      </c>
      <c r="F85" s="102">
        <f t="shared" si="12"/>
        <v>0</v>
      </c>
      <c r="G85" s="8"/>
      <c r="H85" s="8"/>
      <c r="I85" s="96"/>
      <c r="J85" s="102">
        <f t="shared" si="5"/>
        <v>0</v>
      </c>
      <c r="K85" s="102">
        <f t="shared" si="6"/>
        <v>0</v>
      </c>
      <c r="L85" s="102">
        <f t="shared" si="7"/>
        <v>0</v>
      </c>
      <c r="M85" s="102">
        <f t="shared" si="8"/>
        <v>0</v>
      </c>
      <c r="N85" s="102">
        <f t="shared" si="9"/>
        <v>0</v>
      </c>
    </row>
    <row r="86" spans="1:14">
      <c r="A86" s="96" t="s">
        <v>126</v>
      </c>
      <c r="B86" s="102">
        <f t="shared" si="10"/>
        <v>5.8886999738425323E-2</v>
      </c>
      <c r="C86" s="102">
        <f t="shared" si="11"/>
        <v>5.9283823961838795E-2</v>
      </c>
      <c r="D86" s="102">
        <f t="shared" si="2"/>
        <v>5.9350179309430928E-2</v>
      </c>
      <c r="E86" s="102">
        <f t="shared" si="3"/>
        <v>5.5976663334278337E-2</v>
      </c>
      <c r="F86" s="102">
        <f t="shared" si="12"/>
        <v>4.1668607359105728E-2</v>
      </c>
      <c r="G86" s="8"/>
      <c r="H86" s="8"/>
      <c r="I86" s="96" t="s">
        <v>126</v>
      </c>
      <c r="J86" s="102">
        <f t="shared" si="5"/>
        <v>3.1330682256580707E-2</v>
      </c>
      <c r="K86" s="102">
        <f t="shared" si="6"/>
        <v>3.1461328317434728E-2</v>
      </c>
      <c r="L86" s="102">
        <f t="shared" si="7"/>
        <v>3.0723133701172946E-2</v>
      </c>
      <c r="M86" s="102">
        <f t="shared" si="8"/>
        <v>3.1059851960512825E-2</v>
      </c>
      <c r="N86" s="102">
        <f t="shared" si="9"/>
        <v>3.2285723193963771E-2</v>
      </c>
    </row>
    <row r="87" spans="1:14">
      <c r="A87" s="96" t="s">
        <v>127</v>
      </c>
      <c r="B87" s="102">
        <f t="shared" si="10"/>
        <v>0.36653969395762492</v>
      </c>
      <c r="C87" s="102">
        <f t="shared" si="11"/>
        <v>0.35567843957264678</v>
      </c>
      <c r="D87" s="102">
        <f t="shared" si="2"/>
        <v>0.34270049113391476</v>
      </c>
      <c r="E87" s="102">
        <f t="shared" si="3"/>
        <v>0.32761604918008325</v>
      </c>
      <c r="F87" s="102">
        <f t="shared" si="12"/>
        <v>0.31574871914299024</v>
      </c>
      <c r="I87" s="96" t="s">
        <v>127</v>
      </c>
      <c r="J87" s="102">
        <f t="shared" si="5"/>
        <v>0.35979464047244564</v>
      </c>
      <c r="K87" s="102">
        <f t="shared" si="6"/>
        <v>0.34674638362667382</v>
      </c>
      <c r="L87" s="102">
        <f t="shared" si="7"/>
        <v>0.34761574158658237</v>
      </c>
      <c r="M87" s="102">
        <f t="shared" si="8"/>
        <v>0.36052629609394293</v>
      </c>
      <c r="N87" s="102">
        <f t="shared" si="9"/>
        <v>0.36313254138995416</v>
      </c>
    </row>
    <row r="88" spans="1:14">
      <c r="A88" s="96" t="s">
        <v>102</v>
      </c>
      <c r="B88" s="102">
        <f t="shared" si="10"/>
        <v>0.19831447815851425</v>
      </c>
      <c r="C88" s="102">
        <f t="shared" si="11"/>
        <v>0.20230666187473453</v>
      </c>
      <c r="D88" s="102">
        <f t="shared" si="2"/>
        <v>0.19344713063499558</v>
      </c>
      <c r="E88" s="102"/>
      <c r="F88" s="102">
        <f t="shared" si="12"/>
        <v>0.14973800652072661</v>
      </c>
      <c r="I88" s="96" t="s">
        <v>102</v>
      </c>
      <c r="J88" s="102">
        <f t="shared" si="5"/>
        <v>0.22705285336973619</v>
      </c>
      <c r="K88" s="102">
        <f t="shared" si="6"/>
        <v>0.21519847134518638</v>
      </c>
      <c r="L88" s="102">
        <f t="shared" si="7"/>
        <v>0.22265502247232069</v>
      </c>
      <c r="M88" s="102">
        <f t="shared" si="8"/>
        <v>0.23923570311272108</v>
      </c>
      <c r="N88" s="102">
        <f t="shared" si="9"/>
        <v>0.23280485143266921</v>
      </c>
    </row>
  </sheetData>
  <mergeCells count="4">
    <mergeCell ref="I46:N46"/>
    <mergeCell ref="A1:F1"/>
    <mergeCell ref="I1:N1"/>
    <mergeCell ref="A46:F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357B-D1AE-5841-ACA1-0EDD8C127645}">
  <dimension ref="A1:I13"/>
  <sheetViews>
    <sheetView zoomScale="140" zoomScaleNormal="140" workbookViewId="0">
      <selection activeCell="D4" sqref="D4"/>
    </sheetView>
  </sheetViews>
  <sheetFormatPr baseColWidth="10" defaultRowHeight="16"/>
  <cols>
    <col min="2" max="2" width="18.1640625" customWidth="1"/>
    <col min="3" max="3" width="18.33203125" customWidth="1"/>
    <col min="4" max="5" width="15" customWidth="1"/>
    <col min="6" max="6" width="14.33203125" customWidth="1"/>
    <col min="7" max="7" width="13.5" customWidth="1"/>
    <col min="8" max="9" width="17.33203125" customWidth="1"/>
  </cols>
  <sheetData>
    <row r="1" spans="1:9">
      <c r="G1" s="36" t="s">
        <v>149</v>
      </c>
    </row>
    <row r="2" spans="1:9">
      <c r="G2" s="48"/>
    </row>
    <row r="3" spans="1:9" ht="27" customHeight="1">
      <c r="A3" s="33"/>
      <c r="B3" s="35" t="s">
        <v>153</v>
      </c>
      <c r="C3" s="35" t="s">
        <v>154</v>
      </c>
      <c r="D3" s="35" t="s">
        <v>155</v>
      </c>
      <c r="E3" s="35" t="s">
        <v>156</v>
      </c>
      <c r="F3" s="35" t="s">
        <v>157</v>
      </c>
      <c r="G3" s="35" t="s">
        <v>158</v>
      </c>
      <c r="H3" s="35" t="s">
        <v>159</v>
      </c>
      <c r="I3" s="35" t="s">
        <v>160</v>
      </c>
    </row>
    <row r="4" spans="1:9">
      <c r="A4" s="33" t="s">
        <v>150</v>
      </c>
      <c r="B4" s="46"/>
      <c r="C4" s="45"/>
      <c r="D4" s="51" t="e">
        <f>B4/$B$6</f>
        <v>#DIV/0!</v>
      </c>
      <c r="E4" s="51" t="e">
        <f>C4/$C$6</f>
        <v>#DIV/0!</v>
      </c>
      <c r="F4" s="49"/>
      <c r="G4" s="51">
        <f>F4*(1-$G$2)</f>
        <v>0</v>
      </c>
      <c r="H4" s="51" t="e">
        <f>D4*G4</f>
        <v>#DIV/0!</v>
      </c>
      <c r="I4" s="51" t="e">
        <f>E4*G4</f>
        <v>#DIV/0!</v>
      </c>
    </row>
    <row r="5" spans="1:9">
      <c r="A5" s="33" t="s">
        <v>151</v>
      </c>
      <c r="B5" s="45"/>
      <c r="C5" s="45"/>
      <c r="D5" s="51" t="e">
        <f>B5/$B$6</f>
        <v>#DIV/0!</v>
      </c>
      <c r="E5" s="51" t="e">
        <f>C5/$C$6</f>
        <v>#DIV/0!</v>
      </c>
      <c r="F5" s="49"/>
      <c r="G5" s="51">
        <f>F5</f>
        <v>0</v>
      </c>
      <c r="H5" s="51" t="e">
        <f>D5*G5</f>
        <v>#DIV/0!</v>
      </c>
      <c r="I5" s="51" t="e">
        <f>E5*G5</f>
        <v>#DIV/0!</v>
      </c>
    </row>
    <row r="6" spans="1:9">
      <c r="A6" s="34" t="s">
        <v>152</v>
      </c>
      <c r="B6" s="47">
        <f>B4+B5</f>
        <v>0</v>
      </c>
      <c r="C6" s="47">
        <f>C4+C5</f>
        <v>0</v>
      </c>
      <c r="D6" s="51" t="e">
        <f>D4+D5</f>
        <v>#DIV/0!</v>
      </c>
      <c r="E6" s="51" t="e">
        <f>E4+E5</f>
        <v>#DIV/0!</v>
      </c>
      <c r="H6" s="50" t="e">
        <f>H4+H5</f>
        <v>#DIV/0!</v>
      </c>
      <c r="I6" s="50" t="e">
        <f>I4+I5</f>
        <v>#DIV/0!</v>
      </c>
    </row>
    <row r="8" spans="1:9">
      <c r="G8" s="36" t="s">
        <v>149</v>
      </c>
    </row>
    <row r="9" spans="1:9">
      <c r="G9" s="48">
        <v>0.3</v>
      </c>
    </row>
    <row r="10" spans="1:9">
      <c r="A10" s="33"/>
      <c r="B10" s="35" t="s">
        <v>153</v>
      </c>
      <c r="C10" s="35" t="s">
        <v>154</v>
      </c>
      <c r="D10" s="35" t="s">
        <v>155</v>
      </c>
      <c r="E10" s="35" t="s">
        <v>156</v>
      </c>
      <c r="F10" s="35" t="s">
        <v>157</v>
      </c>
      <c r="G10" s="35" t="s">
        <v>158</v>
      </c>
      <c r="H10" s="35" t="s">
        <v>159</v>
      </c>
      <c r="I10" s="35" t="s">
        <v>160</v>
      </c>
    </row>
    <row r="11" spans="1:9">
      <c r="A11" s="33" t="s">
        <v>150</v>
      </c>
      <c r="B11" s="46">
        <v>300000000</v>
      </c>
      <c r="C11" s="45">
        <v>319000000</v>
      </c>
      <c r="D11" s="51">
        <f>B11/$B$13</f>
        <v>0.70588235294117652</v>
      </c>
      <c r="E11" s="51">
        <f>C11/$C$13</f>
        <v>0.44367176634214184</v>
      </c>
      <c r="F11" s="49">
        <v>4.7500000000000001E-2</v>
      </c>
      <c r="G11" s="51">
        <f>F11*(1-$G$2)</f>
        <v>4.7500000000000001E-2</v>
      </c>
      <c r="H11" s="51">
        <f>D11*G11</f>
        <v>3.3529411764705884E-2</v>
      </c>
      <c r="I11" s="51">
        <f>E11*G11</f>
        <v>2.1074408901251739E-2</v>
      </c>
    </row>
    <row r="12" spans="1:9">
      <c r="A12" s="33" t="s">
        <v>151</v>
      </c>
      <c r="B12" s="45">
        <v>125000000</v>
      </c>
      <c r="C12" s="45">
        <v>400000000</v>
      </c>
      <c r="D12" s="51">
        <f>B12/$B$13</f>
        <v>0.29411764705882354</v>
      </c>
      <c r="E12" s="51">
        <f>C12/$C$13</f>
        <v>0.55632823365785811</v>
      </c>
      <c r="F12" s="49">
        <v>9.8900000000000002E-2</v>
      </c>
      <c r="G12" s="51">
        <f>F12</f>
        <v>9.8900000000000002E-2</v>
      </c>
      <c r="H12" s="51">
        <f>D12*G12</f>
        <v>2.9088235294117647E-2</v>
      </c>
      <c r="I12" s="51">
        <f>E12*G12</f>
        <v>5.5020862308762165E-2</v>
      </c>
    </row>
    <row r="13" spans="1:9">
      <c r="A13" s="34" t="s">
        <v>152</v>
      </c>
      <c r="B13" s="47">
        <f>B11+B12</f>
        <v>425000000</v>
      </c>
      <c r="C13" s="47">
        <f>C11+C12</f>
        <v>719000000</v>
      </c>
      <c r="D13" s="51">
        <f>D11+D12</f>
        <v>1</v>
      </c>
      <c r="E13" s="51">
        <f>E11+E12</f>
        <v>1</v>
      </c>
      <c r="H13" s="50">
        <f>H11+H12</f>
        <v>6.2617647058823528E-2</v>
      </c>
      <c r="I13" s="50">
        <f>I11+I12</f>
        <v>7.6095271210013901E-2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D690-14EA-3341-93D2-D3613391592F}">
  <dimension ref="A1:E29"/>
  <sheetViews>
    <sheetView zoomScale="130" zoomScaleNormal="130" workbookViewId="0">
      <selection activeCell="J31" sqref="J31"/>
    </sheetView>
  </sheetViews>
  <sheetFormatPr baseColWidth="10" defaultRowHeight="16"/>
  <cols>
    <col min="1" max="1" width="24.1640625" customWidth="1"/>
    <col min="2" max="2" width="13" customWidth="1"/>
    <col min="5" max="5" width="19" customWidth="1"/>
    <col min="6" max="6" width="15.1640625" customWidth="1"/>
  </cols>
  <sheetData>
    <row r="1" spans="1:5">
      <c r="A1" s="124" t="s">
        <v>250</v>
      </c>
      <c r="B1" s="124"/>
      <c r="C1" s="124"/>
      <c r="D1" s="124"/>
      <c r="E1" s="124"/>
    </row>
    <row r="2" spans="1:5">
      <c r="A2" s="125" t="s">
        <v>135</v>
      </c>
      <c r="B2" s="125"/>
      <c r="C2" s="125"/>
      <c r="D2" s="125"/>
      <c r="E2" s="125"/>
    </row>
    <row r="3" spans="1:5">
      <c r="A3" s="53" t="s">
        <v>137</v>
      </c>
      <c r="B3" s="103"/>
      <c r="C3" s="53"/>
      <c r="D3" s="53"/>
      <c r="E3" s="53"/>
    </row>
    <row r="4" spans="1:5">
      <c r="A4" s="53" t="s">
        <v>138</v>
      </c>
      <c r="B4" s="104"/>
      <c r="C4" s="53"/>
      <c r="D4" s="53"/>
      <c r="E4" s="53"/>
    </row>
    <row r="5" spans="1:5">
      <c r="A5" s="53" t="s">
        <v>139</v>
      </c>
      <c r="B5" s="103"/>
      <c r="C5" s="53"/>
      <c r="D5" s="53"/>
      <c r="E5" s="53"/>
    </row>
    <row r="6" spans="1:5">
      <c r="A6" s="126" t="s">
        <v>136</v>
      </c>
      <c r="B6" s="126"/>
      <c r="C6" s="126"/>
      <c r="D6" s="126"/>
      <c r="E6" s="126"/>
    </row>
    <row r="7" spans="1:5">
      <c r="A7" s="53" t="s">
        <v>140</v>
      </c>
      <c r="B7" s="106">
        <f>B4*B5</f>
        <v>0</v>
      </c>
      <c r="C7" s="53"/>
      <c r="D7" s="53"/>
      <c r="E7" s="53"/>
    </row>
    <row r="8" spans="1:5">
      <c r="A8" s="53" t="s">
        <v>141</v>
      </c>
      <c r="B8" s="103">
        <f>B3+B4*B5</f>
        <v>0</v>
      </c>
      <c r="C8" s="53"/>
      <c r="D8" s="53"/>
      <c r="E8" s="53"/>
    </row>
    <row r="12" spans="1:5">
      <c r="A12" s="124" t="s">
        <v>251</v>
      </c>
      <c r="B12" s="124"/>
      <c r="C12" s="124"/>
      <c r="D12" s="124"/>
      <c r="E12" s="124"/>
    </row>
    <row r="13" spans="1:5">
      <c r="A13" s="125" t="s">
        <v>135</v>
      </c>
      <c r="B13" s="125"/>
      <c r="C13" s="125"/>
      <c r="D13" s="125"/>
      <c r="E13" s="125"/>
    </row>
    <row r="14" spans="1:5">
      <c r="A14" s="53" t="s">
        <v>137</v>
      </c>
      <c r="B14" s="107">
        <v>3.9530000000000003E-2</v>
      </c>
      <c r="C14" s="53"/>
      <c r="D14" s="53"/>
      <c r="E14" s="53"/>
    </row>
    <row r="15" spans="1:5">
      <c r="A15" s="53" t="s">
        <v>138</v>
      </c>
      <c r="B15" s="104">
        <v>0.62</v>
      </c>
      <c r="C15" s="53"/>
      <c r="D15" s="53"/>
      <c r="E15" s="53"/>
    </row>
    <row r="16" spans="1:5">
      <c r="A16" s="53" t="s">
        <v>139</v>
      </c>
      <c r="B16" s="107">
        <v>4.9149999999999999E-2</v>
      </c>
      <c r="C16" s="53"/>
      <c r="D16" s="53"/>
      <c r="E16" s="53"/>
    </row>
    <row r="17" spans="1:5">
      <c r="A17" s="105" t="s">
        <v>136</v>
      </c>
      <c r="B17" s="105"/>
      <c r="C17" s="105"/>
      <c r="D17" s="105"/>
      <c r="E17" s="105"/>
    </row>
    <row r="18" spans="1:5">
      <c r="A18" s="53" t="s">
        <v>140</v>
      </c>
      <c r="B18" s="106">
        <f>B15*B16</f>
        <v>3.0473E-2</v>
      </c>
      <c r="C18" s="53"/>
      <c r="D18" s="53"/>
      <c r="E18" s="53"/>
    </row>
    <row r="19" spans="1:5">
      <c r="A19" s="53" t="s">
        <v>141</v>
      </c>
      <c r="B19" s="103">
        <f>B14+B15*B16</f>
        <v>7.000300000000001E-2</v>
      </c>
      <c r="C19" s="53"/>
      <c r="D19" s="53"/>
      <c r="E19" s="53"/>
    </row>
    <row r="22" spans="1:5">
      <c r="A22" s="124" t="s">
        <v>252</v>
      </c>
      <c r="B22" s="124"/>
      <c r="C22" s="124"/>
      <c r="D22" s="124"/>
      <c r="E22" s="124"/>
    </row>
    <row r="23" spans="1:5">
      <c r="A23" s="125" t="s">
        <v>135</v>
      </c>
      <c r="B23" s="125"/>
      <c r="C23" s="125"/>
      <c r="D23" s="125"/>
      <c r="E23" s="125"/>
    </row>
    <row r="24" spans="1:5">
      <c r="A24" s="53" t="s">
        <v>137</v>
      </c>
      <c r="B24" s="107">
        <v>4.0809999999999999E-2</v>
      </c>
      <c r="C24" s="53"/>
      <c r="D24" s="53"/>
      <c r="E24" s="53"/>
    </row>
    <row r="25" spans="1:5">
      <c r="A25" s="53" t="s">
        <v>138</v>
      </c>
      <c r="B25" s="108">
        <v>0.62</v>
      </c>
      <c r="C25" s="53"/>
      <c r="D25" s="53"/>
      <c r="E25" s="53"/>
    </row>
    <row r="26" spans="1:5">
      <c r="A26" s="53" t="s">
        <v>139</v>
      </c>
      <c r="B26" s="107">
        <v>4.9149999999999999E-2</v>
      </c>
      <c r="C26" s="53"/>
      <c r="D26" s="53"/>
      <c r="E26" s="53"/>
    </row>
    <row r="27" spans="1:5">
      <c r="A27" s="105" t="s">
        <v>136</v>
      </c>
      <c r="B27" s="105"/>
      <c r="C27" s="105"/>
      <c r="D27" s="105"/>
      <c r="E27" s="105"/>
    </row>
    <row r="28" spans="1:5">
      <c r="A28" s="53" t="s">
        <v>140</v>
      </c>
      <c r="B28" s="106">
        <f>B25*B26</f>
        <v>3.0473E-2</v>
      </c>
      <c r="C28" s="53"/>
      <c r="D28" s="53"/>
      <c r="E28" s="53"/>
    </row>
    <row r="29" spans="1:5">
      <c r="A29" s="53" t="s">
        <v>141</v>
      </c>
      <c r="B29" s="103">
        <f>B24+B25*B26</f>
        <v>7.1282999999999999E-2</v>
      </c>
      <c r="C29" s="53"/>
      <c r="D29" s="53"/>
      <c r="E29" s="53"/>
    </row>
  </sheetData>
  <mergeCells count="7">
    <mergeCell ref="A22:E22"/>
    <mergeCell ref="A23:E23"/>
    <mergeCell ref="A12:E12"/>
    <mergeCell ref="A13:E13"/>
    <mergeCell ref="A1:E1"/>
    <mergeCell ref="A2:E2"/>
    <mergeCell ref="A6:E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EDBF-ED85-AC44-BF45-88C84034C0C0}">
  <dimension ref="A1:E18"/>
  <sheetViews>
    <sheetView zoomScale="180" zoomScaleNormal="180" workbookViewId="0">
      <selection activeCell="G15" sqref="G15"/>
    </sheetView>
  </sheetViews>
  <sheetFormatPr baseColWidth="10" defaultRowHeight="16"/>
  <cols>
    <col min="1" max="1" width="16" customWidth="1"/>
    <col min="2" max="2" width="14.1640625" bestFit="1" customWidth="1"/>
    <col min="5" max="5" width="13" bestFit="1" customWidth="1"/>
    <col min="8" max="8" width="14.1640625" customWidth="1"/>
  </cols>
  <sheetData>
    <row r="1" spans="1:5" ht="19">
      <c r="A1" s="41" t="s">
        <v>168</v>
      </c>
      <c r="B1" s="27"/>
      <c r="C1" s="27"/>
      <c r="D1" s="40" t="s">
        <v>161</v>
      </c>
    </row>
    <row r="2" spans="1:5" ht="19">
      <c r="A2" s="27" t="s">
        <v>169</v>
      </c>
      <c r="B2" s="44">
        <v>1000</v>
      </c>
      <c r="C2" s="27"/>
      <c r="D2" s="27" t="s">
        <v>142</v>
      </c>
      <c r="E2" s="28"/>
    </row>
    <row r="3" spans="1:5" ht="19">
      <c r="A3" s="27" t="s">
        <v>170</v>
      </c>
      <c r="B3" s="43"/>
      <c r="C3" s="27"/>
      <c r="D3" s="27" t="s">
        <v>143</v>
      </c>
      <c r="E3" s="28"/>
    </row>
    <row r="4" spans="1:5" ht="19">
      <c r="A4" s="27" t="s">
        <v>171</v>
      </c>
      <c r="B4" s="43"/>
      <c r="C4" s="27"/>
      <c r="D4" s="27" t="s">
        <v>144</v>
      </c>
      <c r="E4" s="29"/>
    </row>
    <row r="5" spans="1:5" ht="19">
      <c r="A5" s="27" t="s">
        <v>172</v>
      </c>
      <c r="B5" s="43"/>
      <c r="C5" s="27"/>
      <c r="D5" s="27" t="s">
        <v>145</v>
      </c>
      <c r="E5" s="30"/>
    </row>
    <row r="6" spans="1:5" ht="19">
      <c r="A6" s="27" t="s">
        <v>173</v>
      </c>
      <c r="B6" s="43"/>
      <c r="C6" s="27"/>
      <c r="D6" s="27" t="s">
        <v>146</v>
      </c>
      <c r="E6" s="30"/>
    </row>
    <row r="7" spans="1:5" ht="19">
      <c r="A7" s="27" t="s">
        <v>174</v>
      </c>
      <c r="B7" s="43">
        <f>B5*B6</f>
        <v>0</v>
      </c>
      <c r="C7" s="27"/>
      <c r="D7" s="27" t="s">
        <v>147</v>
      </c>
      <c r="E7" s="31"/>
    </row>
    <row r="8" spans="1:5" ht="19">
      <c r="A8" s="27" t="s">
        <v>175</v>
      </c>
      <c r="B8" s="42" t="e">
        <f>RATE(B7,B3,-B4,B2)</f>
        <v>#NUM!</v>
      </c>
      <c r="C8" s="27"/>
      <c r="D8" s="27" t="s">
        <v>148</v>
      </c>
      <c r="E8" s="38" t="e">
        <f>YIELD(E2,E3,E4,E5,E6,E7)</f>
        <v>#NUM!</v>
      </c>
    </row>
    <row r="9" spans="1:5" ht="19">
      <c r="A9" s="27" t="s">
        <v>148</v>
      </c>
      <c r="B9" s="38" t="e">
        <f>B8*B5</f>
        <v>#NUM!</v>
      </c>
      <c r="C9" s="27"/>
    </row>
    <row r="10" spans="1:5" ht="19">
      <c r="D10" s="27"/>
    </row>
    <row r="11" spans="1:5" ht="19">
      <c r="A11" s="27" t="s">
        <v>169</v>
      </c>
      <c r="B11" s="44">
        <v>1000</v>
      </c>
      <c r="D11" s="37" t="s">
        <v>162</v>
      </c>
      <c r="E11" s="27"/>
    </row>
    <row r="12" spans="1:5" ht="19">
      <c r="A12" s="27" t="s">
        <v>170</v>
      </c>
      <c r="B12" s="43">
        <v>20</v>
      </c>
      <c r="D12" s="27" t="s">
        <v>142</v>
      </c>
      <c r="E12" s="28">
        <v>45229</v>
      </c>
    </row>
    <row r="13" spans="1:5" ht="19">
      <c r="A13" s="27" t="s">
        <v>171</v>
      </c>
      <c r="B13" s="43">
        <v>1000</v>
      </c>
      <c r="D13" s="27" t="s">
        <v>143</v>
      </c>
      <c r="E13" s="28">
        <v>48301</v>
      </c>
    </row>
    <row r="14" spans="1:5" ht="19">
      <c r="A14" s="27" t="s">
        <v>172</v>
      </c>
      <c r="B14" s="43">
        <v>2</v>
      </c>
      <c r="D14" s="27" t="s">
        <v>144</v>
      </c>
      <c r="E14" s="29">
        <v>2.4E-2</v>
      </c>
    </row>
    <row r="15" spans="1:5" ht="19">
      <c r="A15" s="27" t="s">
        <v>173</v>
      </c>
      <c r="B15" s="43">
        <v>10</v>
      </c>
      <c r="D15" s="27" t="s">
        <v>145</v>
      </c>
      <c r="E15" s="30">
        <v>96.001000000000005</v>
      </c>
    </row>
    <row r="16" spans="1:5" ht="19">
      <c r="A16" s="27" t="s">
        <v>174</v>
      </c>
      <c r="B16" s="43">
        <f>B14*B15</f>
        <v>20</v>
      </c>
      <c r="D16" s="27" t="s">
        <v>146</v>
      </c>
      <c r="E16" s="30">
        <v>100</v>
      </c>
    </row>
    <row r="17" spans="1:5" ht="19">
      <c r="A17" s="27" t="s">
        <v>175</v>
      </c>
      <c r="B17" s="42">
        <f>RATE(B16,B12,-B13,B11)</f>
        <v>2.0000000000004917E-2</v>
      </c>
      <c r="D17" s="27" t="s">
        <v>147</v>
      </c>
      <c r="E17" s="31">
        <v>2</v>
      </c>
    </row>
    <row r="18" spans="1:5" ht="19">
      <c r="A18" s="27" t="s">
        <v>148</v>
      </c>
      <c r="B18" s="52">
        <f>B17*B14</f>
        <v>4.0000000000009833E-2</v>
      </c>
      <c r="D18" s="27" t="s">
        <v>148</v>
      </c>
      <c r="E18" s="52">
        <f>YIELD(E12,E13,E14,E15,E16,E17)</f>
        <v>2.9399427028155938E-2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EB23-4BA0-F64D-817A-6863DEB3E91B}">
  <dimension ref="A1:I24"/>
  <sheetViews>
    <sheetView zoomScale="140" zoomScaleNormal="140" workbookViewId="0">
      <selection activeCell="H4" sqref="H4"/>
    </sheetView>
  </sheetViews>
  <sheetFormatPr baseColWidth="10" defaultRowHeight="16"/>
  <cols>
    <col min="2" max="2" width="18.1640625" customWidth="1"/>
    <col min="3" max="3" width="20.1640625" customWidth="1"/>
    <col min="4" max="5" width="15" customWidth="1"/>
    <col min="6" max="6" width="14.33203125" customWidth="1"/>
    <col min="7" max="7" width="13.5" customWidth="1"/>
    <col min="8" max="9" width="17.33203125" customWidth="1"/>
  </cols>
  <sheetData>
    <row r="1" spans="1:9">
      <c r="G1" s="36" t="s">
        <v>149</v>
      </c>
    </row>
    <row r="2" spans="1:9">
      <c r="G2" s="48">
        <v>0.22</v>
      </c>
    </row>
    <row r="3" spans="1:9" ht="27" customHeight="1">
      <c r="A3" s="33"/>
      <c r="B3" s="35" t="s">
        <v>153</v>
      </c>
      <c r="C3" s="35" t="s">
        <v>154</v>
      </c>
      <c r="D3" s="35" t="s">
        <v>155</v>
      </c>
      <c r="E3" s="35" t="s">
        <v>156</v>
      </c>
      <c r="F3" s="35" t="s">
        <v>157</v>
      </c>
      <c r="G3" s="35" t="s">
        <v>158</v>
      </c>
      <c r="H3" s="35" t="s">
        <v>159</v>
      </c>
      <c r="I3" s="35" t="s">
        <v>160</v>
      </c>
    </row>
    <row r="4" spans="1:9">
      <c r="A4" s="33" t="s">
        <v>150</v>
      </c>
      <c r="B4" s="46">
        <v>16390000000</v>
      </c>
      <c r="C4" s="45">
        <v>14420000000</v>
      </c>
      <c r="D4" s="51">
        <f>B4/$B$6</f>
        <v>0.56097477495978365</v>
      </c>
      <c r="E4" s="51">
        <f>C4/$C$6</f>
        <v>0.11972766522749917</v>
      </c>
      <c r="F4" s="49">
        <v>3.5200000000000002E-2</v>
      </c>
      <c r="G4" s="51">
        <f>F4*(1-$G$2)</f>
        <v>2.7456000000000001E-2</v>
      </c>
      <c r="H4" s="51">
        <f>D4*G4</f>
        <v>1.5402123421295821E-2</v>
      </c>
      <c r="I4" s="51">
        <f>E4*G4</f>
        <v>3.2872427764862175E-3</v>
      </c>
    </row>
    <row r="5" spans="1:9">
      <c r="A5" s="33" t="s">
        <v>151</v>
      </c>
      <c r="B5" s="45">
        <v>12827000000</v>
      </c>
      <c r="C5" s="45">
        <v>106020000000</v>
      </c>
      <c r="D5" s="51">
        <f>B5/$B$6</f>
        <v>0.43902522504021629</v>
      </c>
      <c r="E5" s="51">
        <f>C5/$C$6</f>
        <v>0.88027233477250078</v>
      </c>
      <c r="F5" s="49">
        <v>8.4500000000000006E-2</v>
      </c>
      <c r="G5" s="51">
        <f>F5</f>
        <v>8.4500000000000006E-2</v>
      </c>
      <c r="H5" s="51">
        <f>D5*G5</f>
        <v>3.7097631515898281E-2</v>
      </c>
      <c r="I5" s="51">
        <f>E5*G5</f>
        <v>7.4383012288276318E-2</v>
      </c>
    </row>
    <row r="6" spans="1:9">
      <c r="A6" s="34" t="s">
        <v>152</v>
      </c>
      <c r="B6" s="47">
        <f>B4+B5</f>
        <v>29217000000</v>
      </c>
      <c r="C6" s="47">
        <f>C4+C5</f>
        <v>120440000000</v>
      </c>
      <c r="D6" s="51">
        <f>D4+D5</f>
        <v>1</v>
      </c>
      <c r="E6" s="51">
        <f>E4+E5</f>
        <v>1</v>
      </c>
      <c r="H6" s="50">
        <f>H4+H5</f>
        <v>5.2499754937194103E-2</v>
      </c>
      <c r="I6" s="50">
        <f>I4+I5</f>
        <v>7.7670255064762536E-2</v>
      </c>
    </row>
    <row r="8" spans="1:9">
      <c r="A8" s="120" t="s">
        <v>132</v>
      </c>
      <c r="B8" s="120"/>
      <c r="C8" s="120"/>
      <c r="D8" s="120"/>
      <c r="E8" s="120"/>
    </row>
    <row r="9" spans="1:9">
      <c r="A9" s="127" t="s">
        <v>135</v>
      </c>
      <c r="B9" s="127"/>
      <c r="C9" s="127"/>
      <c r="D9" s="127"/>
      <c r="E9" s="127"/>
    </row>
    <row r="10" spans="1:9">
      <c r="A10" t="s">
        <v>137</v>
      </c>
      <c r="B10" s="24">
        <v>2.887E-2</v>
      </c>
    </row>
    <row r="11" spans="1:9">
      <c r="A11" t="s">
        <v>138</v>
      </c>
      <c r="B11" s="26">
        <v>1.06</v>
      </c>
    </row>
    <row r="12" spans="1:9">
      <c r="A12" t="s">
        <v>139</v>
      </c>
      <c r="B12" s="6">
        <v>5.2499999999999998E-2</v>
      </c>
    </row>
    <row r="13" spans="1:9">
      <c r="A13" s="128" t="s">
        <v>136</v>
      </c>
      <c r="B13" s="128"/>
      <c r="C13" s="128"/>
      <c r="D13" s="128"/>
      <c r="E13" s="128"/>
    </row>
    <row r="14" spans="1:9">
      <c r="A14" t="s">
        <v>140</v>
      </c>
      <c r="B14" s="25">
        <f>B11*B12</f>
        <v>5.5649999999999998E-2</v>
      </c>
    </row>
    <row r="15" spans="1:9">
      <c r="A15" t="s">
        <v>141</v>
      </c>
      <c r="B15" s="24">
        <f>B10+B11*B12</f>
        <v>8.4519999999999998E-2</v>
      </c>
    </row>
    <row r="17" spans="1:2" ht="19">
      <c r="A17" s="40" t="s">
        <v>161</v>
      </c>
    </row>
    <row r="18" spans="1:2" ht="19">
      <c r="A18" s="27" t="s">
        <v>142</v>
      </c>
      <c r="B18" s="28">
        <v>44685</v>
      </c>
    </row>
    <row r="19" spans="1:2" ht="19">
      <c r="A19" s="27" t="s">
        <v>143</v>
      </c>
      <c r="B19" s="28">
        <v>46402</v>
      </c>
    </row>
    <row r="20" spans="1:2" ht="19">
      <c r="A20" s="27" t="s">
        <v>144</v>
      </c>
      <c r="B20" s="29">
        <v>1.95E-2</v>
      </c>
    </row>
    <row r="21" spans="1:2" ht="19">
      <c r="A21" s="27" t="s">
        <v>145</v>
      </c>
      <c r="B21" s="30">
        <v>93.77</v>
      </c>
    </row>
    <row r="22" spans="1:2" ht="19">
      <c r="A22" s="27" t="s">
        <v>146</v>
      </c>
      <c r="B22" s="30">
        <v>100</v>
      </c>
    </row>
    <row r="23" spans="1:2" ht="19">
      <c r="A23" s="27" t="s">
        <v>147</v>
      </c>
      <c r="B23" s="31">
        <v>2</v>
      </c>
    </row>
    <row r="24" spans="1:2" ht="19">
      <c r="A24" s="27" t="s">
        <v>148</v>
      </c>
      <c r="B24" s="32">
        <f>YIELD(B18,B19,B20,B21,B22,B23)</f>
        <v>3.3956497238105794E-2</v>
      </c>
    </row>
  </sheetData>
  <mergeCells count="3">
    <mergeCell ref="A8:E8"/>
    <mergeCell ref="A9:E9"/>
    <mergeCell ref="A13:E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2D84-CAF2-564D-93AD-4BB95740F30A}">
  <dimension ref="A1:K383"/>
  <sheetViews>
    <sheetView topLeftCell="E1" zoomScale="144" zoomScaleNormal="144" zoomScaleSheetLayoutView="100" workbookViewId="0">
      <selection activeCell="I31" sqref="I31"/>
    </sheetView>
  </sheetViews>
  <sheetFormatPr baseColWidth="10" defaultColWidth="11" defaultRowHeight="16"/>
  <cols>
    <col min="1" max="1" width="15.6640625" customWidth="1"/>
    <col min="3" max="3" width="11.83203125" bestFit="1" customWidth="1"/>
    <col min="5" max="5" width="16.5" customWidth="1"/>
    <col min="6" max="6" width="17.33203125" bestFit="1" customWidth="1"/>
    <col min="7" max="7" width="19.6640625" style="91" bestFit="1" customWidth="1"/>
    <col min="8" max="8" width="18.83203125" bestFit="1" customWidth="1"/>
    <col min="9" max="9" width="19.6640625" bestFit="1" customWidth="1"/>
    <col min="11" max="11" width="11.6640625" bestFit="1" customWidth="1"/>
  </cols>
  <sheetData>
    <row r="1" spans="1:11">
      <c r="A1" s="130" t="s">
        <v>198</v>
      </c>
      <c r="B1" s="130"/>
      <c r="C1" s="130"/>
      <c r="D1" s="130"/>
      <c r="E1" s="130"/>
      <c r="F1" s="130"/>
      <c r="G1" s="130"/>
      <c r="H1" s="130"/>
      <c r="I1" s="130"/>
      <c r="J1" s="8"/>
      <c r="K1" s="8"/>
    </row>
    <row r="2" spans="1:11">
      <c r="A2" s="72" t="s">
        <v>199</v>
      </c>
      <c r="B2" s="72" t="s">
        <v>200</v>
      </c>
      <c r="C2" s="72" t="s">
        <v>170</v>
      </c>
      <c r="D2" s="72" t="s">
        <v>201</v>
      </c>
      <c r="E2" s="72" t="s">
        <v>202</v>
      </c>
      <c r="F2" s="72" t="s">
        <v>203</v>
      </c>
      <c r="G2" s="73" t="s">
        <v>204</v>
      </c>
      <c r="H2" s="72" t="s">
        <v>205</v>
      </c>
      <c r="I2" s="74" t="s">
        <v>206</v>
      </c>
      <c r="J2" s="75"/>
      <c r="K2" s="8"/>
    </row>
    <row r="3" spans="1:11">
      <c r="A3" s="72" t="s">
        <v>207</v>
      </c>
      <c r="B3" s="72" t="s">
        <v>208</v>
      </c>
      <c r="C3" s="72">
        <v>4.9000000000000004</v>
      </c>
      <c r="D3" s="76">
        <v>49614</v>
      </c>
      <c r="E3" s="72" t="s">
        <v>209</v>
      </c>
      <c r="F3" s="72">
        <v>99.081999999999994</v>
      </c>
      <c r="G3" s="73">
        <v>1250000000</v>
      </c>
      <c r="H3" s="72">
        <v>5.0164463269999997</v>
      </c>
      <c r="I3" s="77">
        <f t="shared" ref="I3:I34" si="0">G3*($F3/100)</f>
        <v>1238525000</v>
      </c>
      <c r="J3" s="8"/>
      <c r="K3" s="8"/>
    </row>
    <row r="4" spans="1:11">
      <c r="A4" s="72" t="s">
        <v>207</v>
      </c>
      <c r="B4" s="72" t="s">
        <v>208</v>
      </c>
      <c r="C4" s="72">
        <v>5.7</v>
      </c>
      <c r="D4" s="76">
        <v>56554</v>
      </c>
      <c r="E4" s="72" t="s">
        <v>209</v>
      </c>
      <c r="F4" s="72">
        <v>97.899000000000001</v>
      </c>
      <c r="G4" s="73">
        <v>1500000000</v>
      </c>
      <c r="H4" s="72">
        <v>5.8501000809999999</v>
      </c>
      <c r="I4" s="77">
        <f t="shared" si="0"/>
        <v>1468485000</v>
      </c>
      <c r="J4" s="8"/>
      <c r="K4" s="8"/>
    </row>
    <row r="5" spans="1:11">
      <c r="A5" s="72" t="s">
        <v>207</v>
      </c>
      <c r="B5" s="72" t="s">
        <v>208</v>
      </c>
      <c r="C5" s="72">
        <v>6.05</v>
      </c>
      <c r="D5" s="76">
        <v>57207</v>
      </c>
      <c r="E5" s="72" t="s">
        <v>209</v>
      </c>
      <c r="F5" s="72">
        <v>102.76900000000001</v>
      </c>
      <c r="G5" s="73">
        <v>1250000000</v>
      </c>
      <c r="H5" s="72">
        <v>5.8528160250000001</v>
      </c>
      <c r="I5" s="77">
        <f t="shared" si="0"/>
        <v>1284612500</v>
      </c>
      <c r="J5" s="8"/>
      <c r="K5" s="8"/>
    </row>
    <row r="6" spans="1:11">
      <c r="A6" s="72" t="s">
        <v>207</v>
      </c>
      <c r="B6" s="72" t="s">
        <v>208</v>
      </c>
      <c r="C6" s="72">
        <v>5.55</v>
      </c>
      <c r="D6" s="76">
        <v>53267</v>
      </c>
      <c r="E6" s="72" t="s">
        <v>209</v>
      </c>
      <c r="F6" s="72">
        <v>98.265000000000001</v>
      </c>
      <c r="G6" s="73">
        <v>1100000000</v>
      </c>
      <c r="H6" s="72">
        <v>5.6951256949999998</v>
      </c>
      <c r="I6" s="77">
        <f t="shared" si="0"/>
        <v>1080915000</v>
      </c>
      <c r="J6" s="8"/>
      <c r="K6" s="8"/>
    </row>
    <row r="7" spans="1:11">
      <c r="A7" s="72" t="s">
        <v>207</v>
      </c>
      <c r="B7" s="72" t="s">
        <v>208</v>
      </c>
      <c r="C7" s="72">
        <v>5.4</v>
      </c>
      <c r="D7" s="76">
        <v>48990</v>
      </c>
      <c r="E7" s="72" t="s">
        <v>209</v>
      </c>
      <c r="F7" s="72">
        <v>103.82299999999999</v>
      </c>
      <c r="G7" s="73">
        <v>2750000000</v>
      </c>
      <c r="H7" s="72">
        <v>4.8317418769999998</v>
      </c>
      <c r="I7" s="77">
        <f t="shared" si="0"/>
        <v>2855132500</v>
      </c>
      <c r="J7" s="8"/>
      <c r="K7" s="8"/>
    </row>
    <row r="8" spans="1:11">
      <c r="A8" s="72" t="s">
        <v>207</v>
      </c>
      <c r="B8" s="72" t="s">
        <v>208</v>
      </c>
      <c r="C8" s="72">
        <v>5.4</v>
      </c>
      <c r="D8" s="76">
        <v>48990</v>
      </c>
      <c r="E8" s="72" t="s">
        <v>209</v>
      </c>
      <c r="F8" s="72">
        <v>103.82299999999999</v>
      </c>
      <c r="G8" s="73">
        <v>2750000000</v>
      </c>
      <c r="H8" s="72">
        <v>4.8317418769999998</v>
      </c>
      <c r="I8" s="77">
        <f t="shared" si="0"/>
        <v>2855132500</v>
      </c>
      <c r="J8" s="8"/>
      <c r="K8" s="8"/>
    </row>
    <row r="9" spans="1:11">
      <c r="A9" s="72" t="s">
        <v>207</v>
      </c>
      <c r="B9" s="72" t="s">
        <v>208</v>
      </c>
      <c r="C9" s="72">
        <v>5.4</v>
      </c>
      <c r="D9" s="76">
        <v>48990</v>
      </c>
      <c r="E9" s="72" t="s">
        <v>209</v>
      </c>
      <c r="F9" s="72">
        <v>103.82299999999999</v>
      </c>
      <c r="G9" s="73">
        <v>2750000000</v>
      </c>
      <c r="H9" s="72">
        <v>4.8317418769999998</v>
      </c>
      <c r="I9" s="77">
        <f t="shared" si="0"/>
        <v>2855132500</v>
      </c>
      <c r="J9" s="8"/>
      <c r="K9" s="8"/>
    </row>
    <row r="10" spans="1:11">
      <c r="A10" s="72" t="s">
        <v>207</v>
      </c>
      <c r="B10" s="72" t="s">
        <v>208</v>
      </c>
      <c r="C10" s="72">
        <v>4.3499999999999996</v>
      </c>
      <c r="D10" s="76">
        <v>47178</v>
      </c>
      <c r="E10" s="72" t="s">
        <v>209</v>
      </c>
      <c r="F10" s="72">
        <v>100.392</v>
      </c>
      <c r="G10" s="73">
        <v>3000000000</v>
      </c>
      <c r="H10" s="72">
        <v>4.2197177520000002</v>
      </c>
      <c r="I10" s="77">
        <f t="shared" si="0"/>
        <v>3011760000</v>
      </c>
      <c r="J10" s="8"/>
      <c r="K10" s="8"/>
    </row>
    <row r="11" spans="1:11">
      <c r="A11" s="72" t="s">
        <v>207</v>
      </c>
      <c r="B11" s="72" t="s">
        <v>208</v>
      </c>
      <c r="C11" s="72">
        <v>4.3499999999999996</v>
      </c>
      <c r="D11" s="76">
        <v>47178</v>
      </c>
      <c r="E11" s="72" t="s">
        <v>209</v>
      </c>
      <c r="F11" s="72">
        <v>100.392</v>
      </c>
      <c r="G11" s="73">
        <v>3000000000</v>
      </c>
      <c r="H11" s="72">
        <v>4.2197177520000002</v>
      </c>
      <c r="I11" s="77">
        <f t="shared" si="0"/>
        <v>3011760000</v>
      </c>
      <c r="J11" s="8"/>
      <c r="K11" s="8"/>
    </row>
    <row r="12" spans="1:11">
      <c r="A12" s="72" t="s">
        <v>207</v>
      </c>
      <c r="B12" s="72" t="s">
        <v>208</v>
      </c>
      <c r="C12" s="72">
        <v>4.3499999999999996</v>
      </c>
      <c r="D12" s="76">
        <v>47178</v>
      </c>
      <c r="E12" s="72" t="s">
        <v>209</v>
      </c>
      <c r="F12" s="72">
        <v>100.392</v>
      </c>
      <c r="G12" s="73">
        <v>3000000000</v>
      </c>
      <c r="H12" s="72">
        <v>4.2197177520000002</v>
      </c>
      <c r="I12" s="77">
        <f t="shared" si="0"/>
        <v>3011760000</v>
      </c>
      <c r="J12" s="8"/>
      <c r="K12" s="8"/>
    </row>
    <row r="13" spans="1:11">
      <c r="A13" s="72" t="s">
        <v>207</v>
      </c>
      <c r="B13" s="72" t="s">
        <v>208</v>
      </c>
      <c r="C13" s="72">
        <v>4.55</v>
      </c>
      <c r="D13" s="76">
        <v>48519</v>
      </c>
      <c r="E13" s="72" t="s">
        <v>209</v>
      </c>
      <c r="F13" s="72">
        <v>99.784999999999997</v>
      </c>
      <c r="G13" s="73">
        <v>1150000000</v>
      </c>
      <c r="H13" s="72">
        <v>4.5844730189999998</v>
      </c>
      <c r="I13" s="77">
        <f t="shared" si="0"/>
        <v>1147527500</v>
      </c>
      <c r="J13" s="8"/>
      <c r="K13" s="8"/>
    </row>
    <row r="14" spans="1:11">
      <c r="A14" s="72" t="s">
        <v>210</v>
      </c>
      <c r="B14" s="72" t="s">
        <v>208</v>
      </c>
      <c r="C14" s="72">
        <v>6</v>
      </c>
      <c r="D14" s="76">
        <v>49263</v>
      </c>
      <c r="E14" s="72" t="s">
        <v>209</v>
      </c>
      <c r="F14" s="72">
        <v>104.646</v>
      </c>
      <c r="G14" s="73">
        <v>191580000</v>
      </c>
      <c r="H14" s="72">
        <v>5.3432621659999997</v>
      </c>
      <c r="I14" s="77">
        <f t="shared" si="0"/>
        <v>200480806.79999998</v>
      </c>
      <c r="J14" s="8"/>
      <c r="K14" s="8"/>
    </row>
    <row r="15" spans="1:11">
      <c r="A15" s="72" t="s">
        <v>207</v>
      </c>
      <c r="B15" s="72" t="s">
        <v>208</v>
      </c>
      <c r="C15" s="72">
        <v>4.5</v>
      </c>
      <c r="D15" s="76">
        <v>49444</v>
      </c>
      <c r="E15" s="72" t="s">
        <v>209</v>
      </c>
      <c r="F15" s="72">
        <v>96.667000000000002</v>
      </c>
      <c r="G15" s="73">
        <v>2500000000</v>
      </c>
      <c r="H15" s="72">
        <v>4.9436498230000003</v>
      </c>
      <c r="I15" s="77">
        <f t="shared" si="0"/>
        <v>2416675000</v>
      </c>
      <c r="J15" s="8"/>
      <c r="K15" s="8"/>
    </row>
    <row r="16" spans="1:11">
      <c r="A16" s="72" t="s">
        <v>207</v>
      </c>
      <c r="B16" s="72" t="s">
        <v>208</v>
      </c>
      <c r="C16" s="72">
        <v>4.0999999999999996</v>
      </c>
      <c r="D16" s="76">
        <v>46798</v>
      </c>
      <c r="E16" s="72" t="s">
        <v>209</v>
      </c>
      <c r="F16" s="72">
        <v>99.953999999999994</v>
      </c>
      <c r="G16" s="73">
        <v>1719270000</v>
      </c>
      <c r="H16" s="72">
        <v>4.1191176489999997</v>
      </c>
      <c r="I16" s="77">
        <f t="shared" si="0"/>
        <v>1718479135.8</v>
      </c>
      <c r="J16" s="8"/>
      <c r="K16" s="8"/>
    </row>
    <row r="17" spans="1:11">
      <c r="A17" s="72" t="s">
        <v>207</v>
      </c>
      <c r="B17" s="72" t="s">
        <v>208</v>
      </c>
      <c r="C17" s="72">
        <v>3.15</v>
      </c>
      <c r="D17" s="76">
        <v>47635</v>
      </c>
      <c r="E17" s="72" t="s">
        <v>209</v>
      </c>
      <c r="F17" s="72">
        <v>100.94199999999999</v>
      </c>
      <c r="G17" s="73">
        <v>1000000000</v>
      </c>
      <c r="H17" s="72">
        <v>2.922988261</v>
      </c>
      <c r="I17" s="77">
        <f t="shared" si="0"/>
        <v>1009420000</v>
      </c>
      <c r="J17" s="8"/>
      <c r="K17" s="8"/>
    </row>
    <row r="18" spans="1:11">
      <c r="A18" s="72" t="s">
        <v>207</v>
      </c>
      <c r="B18" s="72" t="s">
        <v>208</v>
      </c>
      <c r="C18" s="72">
        <v>2.75</v>
      </c>
      <c r="D18" s="76">
        <v>48000</v>
      </c>
      <c r="E18" s="72" t="s">
        <v>209</v>
      </c>
      <c r="F18" s="72">
        <v>91.822000000000003</v>
      </c>
      <c r="G18" s="73">
        <v>3000000000</v>
      </c>
      <c r="H18" s="72">
        <v>4.4278695670000001</v>
      </c>
      <c r="I18" s="77">
        <f t="shared" si="0"/>
        <v>2754660000</v>
      </c>
      <c r="J18" s="8"/>
      <c r="K18" s="8"/>
    </row>
    <row r="19" spans="1:11">
      <c r="A19" s="72" t="s">
        <v>207</v>
      </c>
      <c r="B19" s="72" t="s">
        <v>208</v>
      </c>
      <c r="C19" s="72">
        <v>4.05</v>
      </c>
      <c r="D19" s="76">
        <v>50192</v>
      </c>
      <c r="E19" s="72" t="s">
        <v>209</v>
      </c>
      <c r="F19" s="72">
        <v>102.274</v>
      </c>
      <c r="G19" s="73">
        <v>750000000</v>
      </c>
      <c r="H19" s="72">
        <v>3.8009720310000001</v>
      </c>
      <c r="I19" s="77">
        <f t="shared" si="0"/>
        <v>767055000</v>
      </c>
      <c r="J19" s="8"/>
      <c r="K19" s="8"/>
    </row>
    <row r="20" spans="1:11">
      <c r="A20" s="72" t="s">
        <v>207</v>
      </c>
      <c r="B20" s="72" t="s">
        <v>208</v>
      </c>
      <c r="C20" s="72">
        <v>1.65</v>
      </c>
      <c r="D20" s="76">
        <v>46784</v>
      </c>
      <c r="E20" s="72" t="s">
        <v>209</v>
      </c>
      <c r="F20" s="72">
        <v>94.932000000000002</v>
      </c>
      <c r="G20" s="73">
        <v>2250000000</v>
      </c>
      <c r="H20" s="72">
        <v>4.0629758709999999</v>
      </c>
      <c r="I20" s="77">
        <f t="shared" si="0"/>
        <v>2135970000</v>
      </c>
      <c r="J20" s="8"/>
      <c r="K20" s="8"/>
    </row>
    <row r="21" spans="1:11">
      <c r="A21" s="72" t="s">
        <v>207</v>
      </c>
      <c r="B21" s="72" t="s">
        <v>208</v>
      </c>
      <c r="C21" s="72">
        <v>4.3</v>
      </c>
      <c r="D21" s="76">
        <v>47529</v>
      </c>
      <c r="E21" s="72" t="s">
        <v>209</v>
      </c>
      <c r="F21" s="72">
        <v>100.151</v>
      </c>
      <c r="G21" s="73">
        <v>3144026000</v>
      </c>
      <c r="H21" s="72">
        <v>4.2593602519999996</v>
      </c>
      <c r="I21" s="77">
        <f t="shared" si="0"/>
        <v>3148773479.2599998</v>
      </c>
      <c r="J21" s="8"/>
      <c r="K21" s="8"/>
    </row>
    <row r="22" spans="1:11">
      <c r="A22" s="72" t="s">
        <v>207</v>
      </c>
      <c r="B22" s="72" t="s">
        <v>208</v>
      </c>
      <c r="C22" s="72">
        <v>4.3</v>
      </c>
      <c r="D22" s="76">
        <v>47529</v>
      </c>
      <c r="E22" s="72" t="s">
        <v>209</v>
      </c>
      <c r="F22" s="72">
        <v>100.151</v>
      </c>
      <c r="G22" s="73">
        <v>3144026000</v>
      </c>
      <c r="H22" s="72">
        <v>4.2593602519999996</v>
      </c>
      <c r="I22" s="77">
        <f t="shared" si="0"/>
        <v>3148773479.2599998</v>
      </c>
      <c r="J22" s="8"/>
      <c r="K22" s="8"/>
    </row>
    <row r="23" spans="1:11">
      <c r="A23" s="72" t="s">
        <v>207</v>
      </c>
      <c r="B23" s="72" t="s">
        <v>208</v>
      </c>
      <c r="C23" s="72">
        <v>4.3</v>
      </c>
      <c r="D23" s="76">
        <v>47529</v>
      </c>
      <c r="E23" s="72" t="s">
        <v>209</v>
      </c>
      <c r="F23" s="72">
        <v>100.151</v>
      </c>
      <c r="G23" s="73">
        <v>3144026000</v>
      </c>
      <c r="H23" s="72">
        <v>4.2593602519999996</v>
      </c>
      <c r="I23" s="77">
        <f t="shared" si="0"/>
        <v>3148773479.2599998</v>
      </c>
      <c r="J23" s="8"/>
      <c r="K23" s="8"/>
    </row>
    <row r="24" spans="1:11">
      <c r="A24" s="72" t="s">
        <v>207</v>
      </c>
      <c r="B24" s="72" t="s">
        <v>208</v>
      </c>
      <c r="C24" s="72">
        <v>4.25</v>
      </c>
      <c r="D24" s="76">
        <v>46447</v>
      </c>
      <c r="E24" s="72" t="s">
        <v>209</v>
      </c>
      <c r="F24" s="72">
        <v>100.166</v>
      </c>
      <c r="G24" s="73">
        <v>1489951000</v>
      </c>
      <c r="H24" s="72">
        <v>4.1134155860000003</v>
      </c>
      <c r="I24" s="77">
        <f t="shared" si="0"/>
        <v>1492424318.6600001</v>
      </c>
      <c r="J24" s="8"/>
      <c r="K24" s="8"/>
    </row>
    <row r="25" spans="1:11">
      <c r="A25" s="72" t="s">
        <v>207</v>
      </c>
      <c r="B25" s="72" t="s">
        <v>208</v>
      </c>
      <c r="C25" s="72">
        <v>4.3</v>
      </c>
      <c r="D25" s="76">
        <v>52215</v>
      </c>
      <c r="E25" s="72" t="s">
        <v>209</v>
      </c>
      <c r="F25" s="72">
        <v>85.748999999999995</v>
      </c>
      <c r="G25" s="73">
        <v>1296794000</v>
      </c>
      <c r="H25" s="72">
        <v>5.6066732469999998</v>
      </c>
      <c r="I25" s="77">
        <f t="shared" si="0"/>
        <v>1111987887.0599999</v>
      </c>
      <c r="J25" s="8"/>
      <c r="K25" s="8"/>
    </row>
    <row r="26" spans="1:11">
      <c r="A26" s="72" t="s">
        <v>207</v>
      </c>
      <c r="B26" s="72" t="s">
        <v>208</v>
      </c>
      <c r="C26" s="72">
        <v>4.7</v>
      </c>
      <c r="D26" s="76">
        <v>47710</v>
      </c>
      <c r="E26" s="72" t="s">
        <v>209</v>
      </c>
      <c r="F26" s="72">
        <v>101.504</v>
      </c>
      <c r="G26" s="73">
        <v>1000000000</v>
      </c>
      <c r="H26" s="72">
        <v>4.3426549440000004</v>
      </c>
      <c r="I26" s="77">
        <f t="shared" si="0"/>
        <v>1015040000</v>
      </c>
      <c r="J26" s="8"/>
      <c r="K26" s="8"/>
    </row>
    <row r="27" spans="1:11">
      <c r="A27" s="72" t="s">
        <v>207</v>
      </c>
      <c r="B27" s="72" t="s">
        <v>208</v>
      </c>
      <c r="C27" s="72">
        <v>4.3</v>
      </c>
      <c r="D27" s="76">
        <v>49266</v>
      </c>
      <c r="E27" s="72" t="s">
        <v>209</v>
      </c>
      <c r="F27" s="72">
        <v>105.20399999999999</v>
      </c>
      <c r="G27" s="73">
        <v>1250000000</v>
      </c>
      <c r="H27" s="72">
        <v>3.6129875810000001</v>
      </c>
      <c r="I27" s="77">
        <f t="shared" si="0"/>
        <v>1315049999.9999998</v>
      </c>
      <c r="J27" s="8"/>
      <c r="K27" s="8"/>
    </row>
    <row r="28" spans="1:11">
      <c r="A28" s="72" t="s">
        <v>207</v>
      </c>
      <c r="B28" s="72" t="s">
        <v>208</v>
      </c>
      <c r="C28" s="72">
        <v>3.15</v>
      </c>
      <c r="D28" s="76">
        <v>49922</v>
      </c>
      <c r="E28" s="72" t="s">
        <v>209</v>
      </c>
      <c r="F28" s="72">
        <v>94.625</v>
      </c>
      <c r="G28" s="73">
        <v>1750000000</v>
      </c>
      <c r="H28" s="72">
        <v>3.7635545709999998</v>
      </c>
      <c r="I28" s="77">
        <f t="shared" si="0"/>
        <v>1655937500</v>
      </c>
      <c r="J28" s="8"/>
      <c r="K28" s="8"/>
    </row>
    <row r="29" spans="1:11">
      <c r="A29" s="72" t="s">
        <v>207</v>
      </c>
      <c r="B29" s="72" t="s">
        <v>208</v>
      </c>
      <c r="C29" s="72">
        <v>3.6</v>
      </c>
      <c r="D29" s="76">
        <v>48731</v>
      </c>
      <c r="E29" s="72" t="s">
        <v>209</v>
      </c>
      <c r="F29" s="72">
        <v>101.083</v>
      </c>
      <c r="G29" s="73">
        <v>1000000000</v>
      </c>
      <c r="H29" s="72">
        <v>3.432343071</v>
      </c>
      <c r="I29" s="77">
        <f t="shared" si="0"/>
        <v>1010829999.9999999</v>
      </c>
      <c r="J29" s="8"/>
      <c r="K29" s="8"/>
    </row>
    <row r="30" spans="1:11">
      <c r="A30" s="72" t="s">
        <v>207</v>
      </c>
      <c r="B30" s="72" t="s">
        <v>208</v>
      </c>
      <c r="C30" s="72">
        <v>6.45</v>
      </c>
      <c r="D30" s="76">
        <v>49110</v>
      </c>
      <c r="E30" s="72" t="s">
        <v>209</v>
      </c>
      <c r="F30" s="72">
        <v>108.77</v>
      </c>
      <c r="G30" s="73">
        <v>165964000</v>
      </c>
      <c r="H30" s="72">
        <v>5.1715926750000003</v>
      </c>
      <c r="I30" s="77">
        <f t="shared" si="0"/>
        <v>180519042.79999998</v>
      </c>
      <c r="J30" s="8"/>
      <c r="K30" s="8"/>
    </row>
    <row r="31" spans="1:11">
      <c r="A31" s="72" t="s">
        <v>207</v>
      </c>
      <c r="B31" s="72" t="s">
        <v>208</v>
      </c>
      <c r="C31" s="72">
        <v>3.5</v>
      </c>
      <c r="D31" s="76">
        <v>56142</v>
      </c>
      <c r="E31" s="72" t="s">
        <v>209</v>
      </c>
      <c r="F31" s="72">
        <v>68.582999999999998</v>
      </c>
      <c r="G31" s="73">
        <v>7496266000</v>
      </c>
      <c r="H31" s="72">
        <v>5.7837422680000001</v>
      </c>
      <c r="I31" s="77">
        <f t="shared" si="0"/>
        <v>5141164110.7799997</v>
      </c>
      <c r="J31" s="8"/>
      <c r="K31" s="8"/>
    </row>
    <row r="32" spans="1:11">
      <c r="A32" s="72" t="s">
        <v>207</v>
      </c>
      <c r="B32" s="72" t="s">
        <v>208</v>
      </c>
      <c r="C32" s="72">
        <v>3.5</v>
      </c>
      <c r="D32" s="76">
        <v>56142</v>
      </c>
      <c r="E32" s="72" t="s">
        <v>209</v>
      </c>
      <c r="F32" s="72">
        <v>68.582999999999998</v>
      </c>
      <c r="G32" s="73">
        <v>7496266000</v>
      </c>
      <c r="H32" s="72">
        <v>5.7837422680000001</v>
      </c>
      <c r="I32" s="77">
        <f t="shared" si="0"/>
        <v>5141164110.7799997</v>
      </c>
      <c r="J32" s="8"/>
      <c r="K32" s="8"/>
    </row>
    <row r="33" spans="1:11">
      <c r="A33" s="72" t="s">
        <v>207</v>
      </c>
      <c r="B33" s="72" t="s">
        <v>208</v>
      </c>
      <c r="C33" s="72">
        <v>3.5</v>
      </c>
      <c r="D33" s="76">
        <v>56142</v>
      </c>
      <c r="E33" s="72" t="s">
        <v>209</v>
      </c>
      <c r="F33" s="72">
        <v>68.582999999999998</v>
      </c>
      <c r="G33" s="73">
        <v>7496266000</v>
      </c>
      <c r="H33" s="72">
        <v>5.7837422680000001</v>
      </c>
      <c r="I33" s="77">
        <f t="shared" si="0"/>
        <v>5141164110.7799997</v>
      </c>
      <c r="J33" s="8"/>
      <c r="K33" s="8"/>
    </row>
    <row r="34" spans="1:11">
      <c r="A34" s="72" t="s">
        <v>207</v>
      </c>
      <c r="B34" s="72" t="s">
        <v>208</v>
      </c>
      <c r="C34" s="72">
        <v>2.5499999999999998</v>
      </c>
      <c r="D34" s="76">
        <v>48914</v>
      </c>
      <c r="E34" s="72" t="s">
        <v>209</v>
      </c>
      <c r="F34" s="72">
        <v>85.058999999999997</v>
      </c>
      <c r="G34" s="73">
        <v>3744161000</v>
      </c>
      <c r="H34" s="72">
        <v>4.8102613830000003</v>
      </c>
      <c r="I34" s="77">
        <f t="shared" si="0"/>
        <v>3184745904.9899998</v>
      </c>
      <c r="J34" s="8"/>
      <c r="K34" s="8"/>
    </row>
    <row r="35" spans="1:11">
      <c r="A35" s="72" t="s">
        <v>207</v>
      </c>
      <c r="B35" s="72" t="s">
        <v>208</v>
      </c>
      <c r="C35" s="72">
        <v>1.7</v>
      </c>
      <c r="D35" s="76">
        <v>46106</v>
      </c>
      <c r="E35" s="72" t="s">
        <v>209</v>
      </c>
      <c r="F35" s="72">
        <v>99.167000000000002</v>
      </c>
      <c r="G35" s="73">
        <v>3000000000</v>
      </c>
      <c r="H35" s="72">
        <v>3.9960475500000001</v>
      </c>
      <c r="I35" s="77">
        <f t="shared" ref="I35:I66" si="1">G35*($F35/100)</f>
        <v>2975010000</v>
      </c>
      <c r="J35" s="8"/>
      <c r="K35" s="8"/>
    </row>
    <row r="36" spans="1:11">
      <c r="A36" s="72" t="s">
        <v>207</v>
      </c>
      <c r="B36" s="72" t="s">
        <v>208</v>
      </c>
      <c r="C36" s="72">
        <v>2.25</v>
      </c>
      <c r="D36" s="76">
        <v>48245</v>
      </c>
      <c r="E36" s="72" t="s">
        <v>209</v>
      </c>
      <c r="F36" s="72">
        <v>87.694000000000003</v>
      </c>
      <c r="G36" s="73">
        <v>2500000000</v>
      </c>
      <c r="H36" s="72">
        <v>4.5439280719999999</v>
      </c>
      <c r="I36" s="77">
        <f t="shared" si="1"/>
        <v>2192350000</v>
      </c>
      <c r="J36" s="8"/>
      <c r="K36" s="8"/>
    </row>
    <row r="37" spans="1:11">
      <c r="A37" s="72" t="s">
        <v>207</v>
      </c>
      <c r="B37" s="72" t="s">
        <v>208</v>
      </c>
      <c r="C37" s="72">
        <v>5.35</v>
      </c>
      <c r="D37" s="76">
        <v>51380</v>
      </c>
      <c r="E37" s="72" t="s">
        <v>209</v>
      </c>
      <c r="F37" s="72">
        <v>99.152000000000001</v>
      </c>
      <c r="G37" s="73">
        <v>614550000</v>
      </c>
      <c r="H37" s="72">
        <v>5.4332711619999996</v>
      </c>
      <c r="I37" s="77">
        <f t="shared" si="1"/>
        <v>609338616</v>
      </c>
      <c r="J37" s="8"/>
      <c r="K37" s="8"/>
    </row>
    <row r="38" spans="1:11">
      <c r="A38" s="72" t="s">
        <v>207</v>
      </c>
      <c r="B38" s="72" t="s">
        <v>208</v>
      </c>
      <c r="C38" s="72">
        <v>3.55</v>
      </c>
      <c r="D38" s="76">
        <v>48565</v>
      </c>
      <c r="E38" s="72" t="s">
        <v>209</v>
      </c>
      <c r="F38" s="72">
        <v>101.396</v>
      </c>
      <c r="G38" s="73">
        <v>1400000000</v>
      </c>
      <c r="H38" s="72">
        <v>3.324983966</v>
      </c>
      <c r="I38" s="77">
        <f t="shared" si="1"/>
        <v>1419544000</v>
      </c>
      <c r="J38" s="8"/>
      <c r="K38" s="8"/>
    </row>
    <row r="39" spans="1:11">
      <c r="A39" s="72" t="s">
        <v>207</v>
      </c>
      <c r="B39" s="72" t="s">
        <v>208</v>
      </c>
      <c r="C39" s="72">
        <v>2.2999999999999998</v>
      </c>
      <c r="D39" s="76">
        <v>46539</v>
      </c>
      <c r="E39" s="72" t="s">
        <v>209</v>
      </c>
      <c r="F39" s="72">
        <v>97.332999999999998</v>
      </c>
      <c r="G39" s="73">
        <v>2500000000</v>
      </c>
      <c r="H39" s="72">
        <v>4.0926302200000002</v>
      </c>
      <c r="I39" s="77">
        <f t="shared" si="1"/>
        <v>2433325000</v>
      </c>
      <c r="J39" s="8"/>
      <c r="K39" s="8"/>
    </row>
    <row r="40" spans="1:11">
      <c r="A40" s="72" t="s">
        <v>207</v>
      </c>
      <c r="B40" s="72" t="s">
        <v>208</v>
      </c>
      <c r="C40" s="72">
        <v>3.55</v>
      </c>
      <c r="D40" s="76">
        <v>56872</v>
      </c>
      <c r="E40" s="72" t="s">
        <v>209</v>
      </c>
      <c r="F40" s="72">
        <v>68.238</v>
      </c>
      <c r="G40" s="73">
        <v>7495129000</v>
      </c>
      <c r="H40" s="72">
        <v>5.8007096980000004</v>
      </c>
      <c r="I40" s="77">
        <f t="shared" si="1"/>
        <v>5114526127.0199995</v>
      </c>
      <c r="J40" s="8"/>
      <c r="K40" s="8"/>
    </row>
    <row r="41" spans="1:11">
      <c r="A41" s="72" t="s">
        <v>207</v>
      </c>
      <c r="B41" s="72" t="s">
        <v>208</v>
      </c>
      <c r="C41" s="72">
        <v>0.25</v>
      </c>
      <c r="D41" s="76">
        <v>46085</v>
      </c>
      <c r="E41" s="72" t="s">
        <v>209</v>
      </c>
      <c r="F41" s="72">
        <v>99.435000000000002</v>
      </c>
      <c r="G41" s="73">
        <v>1000000000</v>
      </c>
      <c r="H41" s="72">
        <v>2.1330991190000002</v>
      </c>
      <c r="I41" s="77">
        <f t="shared" si="1"/>
        <v>994350000.00000012</v>
      </c>
      <c r="J41" s="8"/>
      <c r="K41" s="8"/>
    </row>
    <row r="42" spans="1:11">
      <c r="A42" s="72" t="s">
        <v>207</v>
      </c>
      <c r="B42" s="72" t="s">
        <v>208</v>
      </c>
      <c r="C42" s="72">
        <v>5.375</v>
      </c>
      <c r="D42" s="76">
        <v>49536</v>
      </c>
      <c r="E42" s="72" t="s">
        <v>209</v>
      </c>
      <c r="F42" s="72">
        <v>102.744</v>
      </c>
      <c r="G42" s="73">
        <v>1250000000</v>
      </c>
      <c r="H42" s="72">
        <v>5.0130625450000004</v>
      </c>
      <c r="I42" s="77">
        <f t="shared" si="1"/>
        <v>1284300000</v>
      </c>
      <c r="J42" s="8"/>
      <c r="K42" s="8"/>
    </row>
    <row r="43" spans="1:11">
      <c r="A43" s="72" t="s">
        <v>211</v>
      </c>
      <c r="B43" s="72" t="s">
        <v>208</v>
      </c>
      <c r="C43" s="72">
        <v>6.55</v>
      </c>
      <c r="D43" s="76">
        <v>46767</v>
      </c>
      <c r="E43" s="72" t="s">
        <v>209</v>
      </c>
      <c r="F43" s="72">
        <v>104.38200000000001</v>
      </c>
      <c r="G43" s="73">
        <v>91127000</v>
      </c>
      <c r="H43" s="72">
        <v>4.4085067200000001</v>
      </c>
      <c r="I43" s="77">
        <f t="shared" si="1"/>
        <v>95120185.140000001</v>
      </c>
      <c r="J43" s="8"/>
      <c r="K43" s="8"/>
    </row>
    <row r="44" spans="1:11">
      <c r="A44" s="72" t="s">
        <v>207</v>
      </c>
      <c r="B44" s="72" t="s">
        <v>208</v>
      </c>
      <c r="C44" s="72">
        <v>3.5</v>
      </c>
      <c r="D44" s="76">
        <v>51653</v>
      </c>
      <c r="E44" s="72" t="s">
        <v>209</v>
      </c>
      <c r="F44" s="72">
        <v>79.44</v>
      </c>
      <c r="G44" s="73">
        <v>2500000000</v>
      </c>
      <c r="H44" s="72">
        <v>5.4815866839999998</v>
      </c>
      <c r="I44" s="77">
        <f t="shared" si="1"/>
        <v>1986000000</v>
      </c>
      <c r="J44" s="8"/>
      <c r="K44" s="8"/>
    </row>
    <row r="45" spans="1:11">
      <c r="A45" s="72" t="s">
        <v>207</v>
      </c>
      <c r="B45" s="72" t="s">
        <v>208</v>
      </c>
      <c r="C45" s="72">
        <v>3.65</v>
      </c>
      <c r="D45" s="76">
        <v>55305</v>
      </c>
      <c r="E45" s="72" t="s">
        <v>209</v>
      </c>
      <c r="F45" s="72">
        <v>71.631</v>
      </c>
      <c r="G45" s="73">
        <v>3000000000</v>
      </c>
      <c r="H45" s="72">
        <v>5.7903987490000004</v>
      </c>
      <c r="I45" s="77">
        <f t="shared" si="1"/>
        <v>2148930000</v>
      </c>
      <c r="J45" s="8"/>
      <c r="K45" s="8"/>
    </row>
    <row r="46" spans="1:11">
      <c r="A46" s="72" t="s">
        <v>210</v>
      </c>
      <c r="B46" s="72" t="s">
        <v>208</v>
      </c>
      <c r="C46" s="72">
        <v>6.55</v>
      </c>
      <c r="D46" s="76">
        <v>49110</v>
      </c>
      <c r="E46" s="72" t="s">
        <v>209</v>
      </c>
      <c r="F46" s="72">
        <v>108.81</v>
      </c>
      <c r="G46" s="73">
        <v>146611000</v>
      </c>
      <c r="H46" s="72">
        <v>5.2609949739999999</v>
      </c>
      <c r="I46" s="77">
        <f t="shared" si="1"/>
        <v>159527429.10000002</v>
      </c>
      <c r="J46" s="8"/>
      <c r="K46" s="8"/>
    </row>
    <row r="47" spans="1:11">
      <c r="A47" s="72" t="s">
        <v>207</v>
      </c>
      <c r="B47" s="72" t="s">
        <v>208</v>
      </c>
      <c r="C47" s="72">
        <v>4.75</v>
      </c>
      <c r="D47" s="76">
        <v>53462</v>
      </c>
      <c r="E47" s="72" t="s">
        <v>209</v>
      </c>
      <c r="F47" s="72">
        <v>88.558999999999997</v>
      </c>
      <c r="G47" s="73">
        <v>1871798000</v>
      </c>
      <c r="H47" s="72">
        <v>5.7034593999999998</v>
      </c>
      <c r="I47" s="77">
        <f t="shared" si="1"/>
        <v>1657645590.8199999</v>
      </c>
      <c r="J47" s="8"/>
      <c r="K47" s="8"/>
    </row>
    <row r="48" spans="1:11">
      <c r="A48" s="72" t="s">
        <v>207</v>
      </c>
      <c r="B48" s="72" t="s">
        <v>208</v>
      </c>
      <c r="C48" s="72">
        <v>3.8</v>
      </c>
      <c r="D48" s="76">
        <v>57680</v>
      </c>
      <c r="E48" s="72" t="s">
        <v>209</v>
      </c>
      <c r="F48" s="72">
        <v>70.781999999999996</v>
      </c>
      <c r="G48" s="73">
        <v>5923231000</v>
      </c>
      <c r="H48" s="72">
        <v>5.8224310160000003</v>
      </c>
      <c r="I48" s="77">
        <f t="shared" si="1"/>
        <v>4192581366.4200001</v>
      </c>
      <c r="J48" s="8"/>
      <c r="K48" s="8"/>
    </row>
    <row r="49" spans="1:11">
      <c r="A49" s="72" t="s">
        <v>207</v>
      </c>
      <c r="B49" s="72" t="s">
        <v>208</v>
      </c>
      <c r="C49" s="72">
        <v>2.6</v>
      </c>
      <c r="D49" s="76">
        <v>50544</v>
      </c>
      <c r="E49" s="72" t="s">
        <v>209</v>
      </c>
      <c r="F49" s="72">
        <v>87.007999999999996</v>
      </c>
      <c r="G49" s="73">
        <v>500000000</v>
      </c>
      <c r="H49" s="72">
        <v>3.933570483</v>
      </c>
      <c r="I49" s="77">
        <f t="shared" si="1"/>
        <v>435040000</v>
      </c>
      <c r="J49" s="8"/>
      <c r="K49" s="8"/>
    </row>
    <row r="50" spans="1:11">
      <c r="A50" s="72" t="s">
        <v>207</v>
      </c>
      <c r="B50" s="72" t="s">
        <v>208</v>
      </c>
      <c r="C50" s="72">
        <v>3.65</v>
      </c>
      <c r="D50" s="76">
        <v>58333</v>
      </c>
      <c r="E50" s="72" t="s">
        <v>209</v>
      </c>
      <c r="F50" s="72">
        <v>67.921000000000006</v>
      </c>
      <c r="G50" s="73">
        <v>6495911000</v>
      </c>
      <c r="H50" s="72">
        <v>5.832675214</v>
      </c>
      <c r="I50" s="77">
        <f t="shared" si="1"/>
        <v>4412087710.3100004</v>
      </c>
      <c r="J50" s="8"/>
      <c r="K50" s="8"/>
    </row>
    <row r="51" spans="1:11">
      <c r="A51" s="72" t="s">
        <v>207</v>
      </c>
      <c r="B51" s="72" t="s">
        <v>208</v>
      </c>
      <c r="C51" s="72">
        <v>2.4</v>
      </c>
      <c r="D51" s="76">
        <v>46646</v>
      </c>
      <c r="E51" s="72" t="s">
        <v>209</v>
      </c>
      <c r="F51" s="72">
        <v>100.17100000000001</v>
      </c>
      <c r="G51" s="73">
        <v>2250000000</v>
      </c>
      <c r="H51" s="72">
        <v>2.3426272730000002</v>
      </c>
      <c r="I51" s="77">
        <f t="shared" si="1"/>
        <v>2253847500</v>
      </c>
      <c r="J51" s="8"/>
      <c r="K51" s="8"/>
    </row>
    <row r="52" spans="1:11">
      <c r="A52" s="72" t="s">
        <v>207</v>
      </c>
      <c r="B52" s="72" t="s">
        <v>208</v>
      </c>
      <c r="C52" s="72">
        <v>5.55</v>
      </c>
      <c r="D52" s="76">
        <v>51728</v>
      </c>
      <c r="E52" s="72" t="s">
        <v>209</v>
      </c>
      <c r="F52" s="72">
        <v>101.18</v>
      </c>
      <c r="G52" s="73">
        <v>541196000</v>
      </c>
      <c r="H52" s="72">
        <v>5.4366647600000002</v>
      </c>
      <c r="I52" s="77">
        <f t="shared" si="1"/>
        <v>547582112.80000007</v>
      </c>
      <c r="J52" s="8"/>
      <c r="K52" s="8"/>
    </row>
    <row r="53" spans="1:11">
      <c r="A53" s="72" t="s">
        <v>207</v>
      </c>
      <c r="B53" s="72" t="s">
        <v>208</v>
      </c>
      <c r="C53" s="72">
        <v>3.55</v>
      </c>
      <c r="D53" s="76">
        <v>45979</v>
      </c>
      <c r="E53" s="72" t="s">
        <v>209</v>
      </c>
      <c r="F53" s="72">
        <v>100.00700000000001</v>
      </c>
      <c r="G53" s="73">
        <v>1000000000</v>
      </c>
      <c r="H53" s="72">
        <v>2.8123102289999999</v>
      </c>
      <c r="I53" s="77">
        <f t="shared" si="1"/>
        <v>1000070000</v>
      </c>
      <c r="J53" s="8"/>
      <c r="K53" s="8"/>
    </row>
    <row r="54" spans="1:11">
      <c r="A54" s="72" t="s">
        <v>207</v>
      </c>
      <c r="B54" s="72" t="s">
        <v>208</v>
      </c>
      <c r="C54" s="72">
        <v>4</v>
      </c>
      <c r="D54" s="76">
        <v>45986</v>
      </c>
      <c r="E54" s="72" t="s">
        <v>209</v>
      </c>
      <c r="F54" s="72">
        <v>100.005</v>
      </c>
      <c r="G54" s="73">
        <v>1250000000</v>
      </c>
      <c r="H54" s="72">
        <v>3.285816976</v>
      </c>
      <c r="I54" s="77">
        <f t="shared" si="1"/>
        <v>1250062499.9999998</v>
      </c>
      <c r="J54" s="8"/>
      <c r="K54" s="8"/>
    </row>
    <row r="55" spans="1:11">
      <c r="A55" s="72" t="s">
        <v>207</v>
      </c>
      <c r="B55" s="72" t="s">
        <v>208</v>
      </c>
      <c r="C55" s="72">
        <v>5.25</v>
      </c>
      <c r="D55" s="76">
        <v>50100</v>
      </c>
      <c r="E55" s="72" t="s">
        <v>209</v>
      </c>
      <c r="F55" s="72">
        <v>101.687</v>
      </c>
      <c r="G55" s="73">
        <v>1055020000</v>
      </c>
      <c r="H55" s="72">
        <v>5.0513203039999999</v>
      </c>
      <c r="I55" s="77">
        <f t="shared" si="1"/>
        <v>1072818187.4</v>
      </c>
      <c r="J55" s="8"/>
      <c r="K55" s="8"/>
    </row>
    <row r="56" spans="1:11">
      <c r="A56" s="72" t="s">
        <v>207</v>
      </c>
      <c r="B56" s="72" t="s">
        <v>208</v>
      </c>
      <c r="C56" s="72">
        <v>6.5</v>
      </c>
      <c r="D56" s="76">
        <v>50284</v>
      </c>
      <c r="E56" s="72" t="s">
        <v>209</v>
      </c>
      <c r="F56" s="72">
        <v>109.298</v>
      </c>
      <c r="G56" s="73">
        <v>108373000</v>
      </c>
      <c r="H56" s="72">
        <v>5.4217904030000001</v>
      </c>
      <c r="I56" s="77">
        <f t="shared" si="1"/>
        <v>118449521.54000001</v>
      </c>
      <c r="J56" s="8"/>
      <c r="K56" s="8"/>
    </row>
    <row r="57" spans="1:11">
      <c r="A57" s="72" t="s">
        <v>207</v>
      </c>
      <c r="B57" s="72" t="s">
        <v>208</v>
      </c>
      <c r="C57" s="72">
        <v>4.875</v>
      </c>
      <c r="D57" s="76">
        <v>52749</v>
      </c>
      <c r="E57" s="72" t="s">
        <v>209</v>
      </c>
      <c r="F57" s="72">
        <v>86.518000000000001</v>
      </c>
      <c r="G57" s="73">
        <v>1250000000</v>
      </c>
      <c r="H57" s="72">
        <v>6.1062327060000001</v>
      </c>
      <c r="I57" s="77">
        <f t="shared" si="1"/>
        <v>1081475000</v>
      </c>
      <c r="J57" s="8"/>
      <c r="K57" s="8"/>
    </row>
    <row r="58" spans="1:11">
      <c r="A58" s="72" t="s">
        <v>207</v>
      </c>
      <c r="B58" s="72" t="s">
        <v>208</v>
      </c>
      <c r="C58" s="72">
        <v>2.6</v>
      </c>
      <c r="D58" s="76">
        <v>47469</v>
      </c>
      <c r="E58" s="72" t="s">
        <v>209</v>
      </c>
      <c r="F58" s="72">
        <v>99.05</v>
      </c>
      <c r="G58" s="73">
        <v>800000000</v>
      </c>
      <c r="H58" s="72">
        <v>2.8485413880000001</v>
      </c>
      <c r="I58" s="77">
        <f t="shared" si="1"/>
        <v>792400000</v>
      </c>
      <c r="J58" s="8"/>
      <c r="K58" s="8"/>
    </row>
    <row r="59" spans="1:11">
      <c r="A59" s="72" t="s">
        <v>207</v>
      </c>
      <c r="B59" s="72" t="s">
        <v>208</v>
      </c>
      <c r="C59" s="72">
        <v>3.5</v>
      </c>
      <c r="D59" s="76">
        <v>58838</v>
      </c>
      <c r="E59" s="72" t="s">
        <v>209</v>
      </c>
      <c r="F59" s="72">
        <v>65.588999999999999</v>
      </c>
      <c r="G59" s="73">
        <v>646670000</v>
      </c>
      <c r="H59" s="72">
        <v>5.8041033850000003</v>
      </c>
      <c r="I59" s="77">
        <f t="shared" si="1"/>
        <v>424144386.30000001</v>
      </c>
      <c r="J59" s="8"/>
      <c r="K59" s="8"/>
    </row>
    <row r="60" spans="1:11">
      <c r="A60" s="72" t="s">
        <v>207</v>
      </c>
      <c r="B60" s="72" t="s">
        <v>208</v>
      </c>
      <c r="C60" s="72">
        <v>1.8</v>
      </c>
      <c r="D60" s="76">
        <v>46270</v>
      </c>
      <c r="E60" s="72" t="s">
        <v>209</v>
      </c>
      <c r="F60" s="72">
        <v>99.67</v>
      </c>
      <c r="G60" s="73">
        <v>1466676000</v>
      </c>
      <c r="H60" s="72">
        <v>2.2078604880000001</v>
      </c>
      <c r="I60" s="77">
        <f t="shared" si="1"/>
        <v>1461835969.2</v>
      </c>
      <c r="J60" s="8"/>
      <c r="K60" s="8"/>
    </row>
    <row r="61" spans="1:11">
      <c r="A61" s="72" t="s">
        <v>207</v>
      </c>
      <c r="B61" s="72" t="s">
        <v>208</v>
      </c>
      <c r="C61" s="72">
        <v>3.95</v>
      </c>
      <c r="D61" s="76">
        <v>47968</v>
      </c>
      <c r="E61" s="72" t="s">
        <v>209</v>
      </c>
      <c r="F61" s="72">
        <v>104.306</v>
      </c>
      <c r="G61" s="73">
        <v>1000000000</v>
      </c>
      <c r="H61" s="72">
        <v>3.077825711</v>
      </c>
      <c r="I61" s="77">
        <f t="shared" si="1"/>
        <v>1043059999.9999999</v>
      </c>
      <c r="J61" s="8"/>
      <c r="K61" s="8"/>
    </row>
    <row r="62" spans="1:11">
      <c r="A62" s="72" t="s">
        <v>210</v>
      </c>
      <c r="B62" s="72" t="s">
        <v>208</v>
      </c>
      <c r="C62" s="72">
        <v>6.5</v>
      </c>
      <c r="D62" s="76">
        <v>47192</v>
      </c>
      <c r="E62" s="72" t="s">
        <v>209</v>
      </c>
      <c r="F62" s="72">
        <v>106.157</v>
      </c>
      <c r="G62" s="73">
        <v>115324000</v>
      </c>
      <c r="H62" s="72">
        <v>4.4911063379999998</v>
      </c>
      <c r="I62" s="77">
        <f t="shared" si="1"/>
        <v>122424498.67999999</v>
      </c>
      <c r="J62" s="8"/>
      <c r="K62" s="8"/>
    </row>
    <row r="63" spans="1:11">
      <c r="A63" s="72" t="s">
        <v>207</v>
      </c>
      <c r="B63" s="72" t="s">
        <v>208</v>
      </c>
      <c r="C63" s="72">
        <v>4.3499999999999996</v>
      </c>
      <c r="D63" s="76">
        <v>53128</v>
      </c>
      <c r="E63" s="72" t="s">
        <v>209</v>
      </c>
      <c r="F63" s="72">
        <v>84.135000000000005</v>
      </c>
      <c r="G63" s="73">
        <v>1115280000</v>
      </c>
      <c r="H63" s="72">
        <v>5.7050417260000001</v>
      </c>
      <c r="I63" s="77">
        <f t="shared" si="1"/>
        <v>938340828</v>
      </c>
      <c r="J63" s="8"/>
      <c r="K63" s="8"/>
    </row>
    <row r="64" spans="1:11">
      <c r="A64" s="72" t="s">
        <v>207</v>
      </c>
      <c r="B64" s="72" t="s">
        <v>208</v>
      </c>
      <c r="C64" s="72">
        <v>6.3</v>
      </c>
      <c r="D64" s="76">
        <v>50420</v>
      </c>
      <c r="E64" s="72" t="s">
        <v>209</v>
      </c>
      <c r="F64" s="72">
        <v>108.996</v>
      </c>
      <c r="G64" s="73">
        <v>526886000</v>
      </c>
      <c r="H64" s="72">
        <v>5.2873334019999998</v>
      </c>
      <c r="I64" s="77">
        <f t="shared" si="1"/>
        <v>574284664.56000006</v>
      </c>
      <c r="J64" s="8"/>
      <c r="K64" s="8"/>
    </row>
    <row r="65" spans="1:11">
      <c r="A65" s="72" t="s">
        <v>207</v>
      </c>
      <c r="B65" s="72" t="s">
        <v>208</v>
      </c>
      <c r="C65" s="72">
        <v>3.5</v>
      </c>
      <c r="D65" s="76">
        <v>46008</v>
      </c>
      <c r="E65" s="72" t="s">
        <v>209</v>
      </c>
      <c r="F65" s="72">
        <v>100.13500000000001</v>
      </c>
      <c r="G65" s="73">
        <v>1000000000</v>
      </c>
      <c r="H65" s="72">
        <v>1.9423597749999999</v>
      </c>
      <c r="I65" s="77">
        <f t="shared" si="1"/>
        <v>1001350000</v>
      </c>
      <c r="J65" s="8"/>
      <c r="K65" s="8"/>
    </row>
    <row r="66" spans="1:11">
      <c r="A66" s="72" t="s">
        <v>207</v>
      </c>
      <c r="B66" s="72" t="s">
        <v>208</v>
      </c>
      <c r="C66" s="72">
        <v>2.4500000000000002</v>
      </c>
      <c r="D66" s="76">
        <v>49383</v>
      </c>
      <c r="E66" s="72" t="s">
        <v>209</v>
      </c>
      <c r="F66" s="72">
        <v>90.772999999999996</v>
      </c>
      <c r="G66" s="73">
        <v>1250000000</v>
      </c>
      <c r="H66" s="72">
        <v>3.6322628340000001</v>
      </c>
      <c r="I66" s="77">
        <f t="shared" si="1"/>
        <v>1134662500</v>
      </c>
      <c r="J66" s="8"/>
      <c r="K66" s="8"/>
    </row>
    <row r="67" spans="1:11">
      <c r="A67" s="72" t="s">
        <v>207</v>
      </c>
      <c r="B67" s="72" t="s">
        <v>208</v>
      </c>
      <c r="C67" s="72">
        <v>1.6</v>
      </c>
      <c r="D67" s="76">
        <v>46892</v>
      </c>
      <c r="E67" s="72" t="s">
        <v>209</v>
      </c>
      <c r="F67" s="72">
        <v>97.665000000000006</v>
      </c>
      <c r="G67" s="73">
        <v>1750000000</v>
      </c>
      <c r="H67" s="72">
        <v>2.5705555269999998</v>
      </c>
      <c r="I67" s="77">
        <f t="shared" ref="I67:I98" si="2">G67*($F67/100)</f>
        <v>1709137500</v>
      </c>
      <c r="J67" s="8"/>
      <c r="K67" s="8"/>
    </row>
    <row r="68" spans="1:11">
      <c r="A68" s="72" t="s">
        <v>210</v>
      </c>
      <c r="B68" s="72" t="s">
        <v>208</v>
      </c>
      <c r="C68" s="72">
        <v>6.875</v>
      </c>
      <c r="D68" s="76">
        <v>48136</v>
      </c>
      <c r="E68" s="72" t="s">
        <v>209</v>
      </c>
      <c r="F68" s="72">
        <v>110.61499999999999</v>
      </c>
      <c r="G68" s="73">
        <v>112167000</v>
      </c>
      <c r="H68" s="72">
        <v>4.7938423869999998</v>
      </c>
      <c r="I68" s="77">
        <f t="shared" si="2"/>
        <v>124073527.05</v>
      </c>
      <c r="J68" s="8"/>
      <c r="K68" s="8"/>
    </row>
    <row r="69" spans="1:11">
      <c r="A69" s="72" t="s">
        <v>212</v>
      </c>
      <c r="B69" s="72" t="s">
        <v>208</v>
      </c>
      <c r="C69" s="72">
        <v>8.75</v>
      </c>
      <c r="D69" s="76">
        <v>48167</v>
      </c>
      <c r="E69" s="72" t="s">
        <v>209</v>
      </c>
      <c r="F69" s="72">
        <v>120.79600000000001</v>
      </c>
      <c r="G69" s="73">
        <v>104654000</v>
      </c>
      <c r="H69" s="72">
        <v>4.7313368499999999</v>
      </c>
      <c r="I69" s="77">
        <f t="shared" si="2"/>
        <v>126417845.84000002</v>
      </c>
      <c r="J69" s="8"/>
      <c r="K69" s="8"/>
    </row>
    <row r="70" spans="1:11">
      <c r="A70" s="72" t="s">
        <v>207</v>
      </c>
      <c r="B70" s="72" t="s">
        <v>208</v>
      </c>
      <c r="C70" s="72">
        <v>3.875</v>
      </c>
      <c r="D70" s="76">
        <v>46037</v>
      </c>
      <c r="E70" s="72" t="s">
        <v>209</v>
      </c>
      <c r="F70" s="72">
        <v>99.951999999999998</v>
      </c>
      <c r="G70" s="73">
        <v>302286000</v>
      </c>
      <c r="H70" s="72">
        <v>4.1035584930000004</v>
      </c>
      <c r="I70" s="77">
        <f t="shared" si="2"/>
        <v>302140902.71999997</v>
      </c>
      <c r="J70" s="8"/>
      <c r="K70" s="8"/>
    </row>
    <row r="71" spans="1:11">
      <c r="A71" s="72" t="s">
        <v>207</v>
      </c>
      <c r="B71" s="72" t="s">
        <v>208</v>
      </c>
      <c r="C71" s="72">
        <v>0.8</v>
      </c>
      <c r="D71" s="76">
        <v>47546</v>
      </c>
      <c r="E71" s="72" t="s">
        <v>209</v>
      </c>
      <c r="F71" s="72">
        <v>91.625</v>
      </c>
      <c r="G71" s="73">
        <v>1250000000</v>
      </c>
      <c r="H71" s="72">
        <v>2.8983875270000001</v>
      </c>
      <c r="I71" s="77">
        <f t="shared" si="2"/>
        <v>1145312500</v>
      </c>
      <c r="J71" s="8"/>
      <c r="K71" s="8"/>
    </row>
    <row r="72" spans="1:11">
      <c r="A72" s="72" t="s">
        <v>207</v>
      </c>
      <c r="B72" s="72" t="s">
        <v>208</v>
      </c>
      <c r="C72" s="72">
        <v>7.125</v>
      </c>
      <c r="D72" s="76">
        <v>46096</v>
      </c>
      <c r="E72" s="72" t="s">
        <v>209</v>
      </c>
      <c r="F72" s="72">
        <v>100.95699999999999</v>
      </c>
      <c r="G72" s="73">
        <v>236120000</v>
      </c>
      <c r="H72" s="72">
        <v>4.212398104</v>
      </c>
      <c r="I72" s="77">
        <f t="shared" si="2"/>
        <v>238379668.39999998</v>
      </c>
      <c r="J72" s="8"/>
      <c r="K72" s="8"/>
    </row>
    <row r="73" spans="1:11">
      <c r="A73" s="72" t="s">
        <v>207</v>
      </c>
      <c r="B73" s="72" t="s">
        <v>208</v>
      </c>
      <c r="C73" s="72">
        <v>3.8</v>
      </c>
      <c r="D73" s="76">
        <v>46433</v>
      </c>
      <c r="E73" s="72" t="s">
        <v>209</v>
      </c>
      <c r="F73" s="72">
        <v>99.647000000000006</v>
      </c>
      <c r="G73" s="73">
        <v>758954000</v>
      </c>
      <c r="H73" s="72">
        <v>4.0873263350000002</v>
      </c>
      <c r="I73" s="77">
        <f t="shared" si="2"/>
        <v>756274892.38000011</v>
      </c>
      <c r="J73" s="8"/>
      <c r="K73" s="8"/>
    </row>
    <row r="74" spans="1:11">
      <c r="A74" s="72" t="s">
        <v>207</v>
      </c>
      <c r="B74" s="72" t="s">
        <v>208</v>
      </c>
      <c r="C74" s="72">
        <v>3.375</v>
      </c>
      <c r="D74" s="76">
        <v>49018</v>
      </c>
      <c r="E74" s="72" t="s">
        <v>209</v>
      </c>
      <c r="F74" s="72">
        <v>98.97</v>
      </c>
      <c r="G74" s="73">
        <v>500000000</v>
      </c>
      <c r="H74" s="72">
        <v>3.5179543340000001</v>
      </c>
      <c r="I74" s="77">
        <f t="shared" si="2"/>
        <v>494850000</v>
      </c>
      <c r="J74" s="8"/>
      <c r="K74" s="8"/>
    </row>
    <row r="75" spans="1:11">
      <c r="A75" s="72" t="s">
        <v>207</v>
      </c>
      <c r="B75" s="72" t="s">
        <v>208</v>
      </c>
      <c r="C75" s="72">
        <v>7</v>
      </c>
      <c r="D75" s="76">
        <v>51256</v>
      </c>
      <c r="E75" s="72" t="s">
        <v>209</v>
      </c>
      <c r="F75" s="72">
        <v>110.782</v>
      </c>
      <c r="G75" s="73">
        <v>1100000000</v>
      </c>
      <c r="H75" s="72">
        <v>5.8680472720000001</v>
      </c>
      <c r="I75" s="77">
        <f t="shared" si="2"/>
        <v>1218602000</v>
      </c>
      <c r="J75" s="8"/>
      <c r="K75" s="8"/>
    </row>
    <row r="76" spans="1:11">
      <c r="A76" s="72" t="s">
        <v>207</v>
      </c>
      <c r="B76" s="72" t="s">
        <v>208</v>
      </c>
      <c r="C76" s="72">
        <v>6.375</v>
      </c>
      <c r="D76" s="76">
        <v>51561</v>
      </c>
      <c r="E76" s="72" t="s">
        <v>209</v>
      </c>
      <c r="F76" s="72">
        <v>108.681</v>
      </c>
      <c r="G76" s="73">
        <v>307077000</v>
      </c>
      <c r="H76" s="72">
        <v>5.5259791570000001</v>
      </c>
      <c r="I76" s="77">
        <f t="shared" si="2"/>
        <v>333734354.37</v>
      </c>
      <c r="J76" s="8"/>
      <c r="K76" s="8"/>
    </row>
    <row r="77" spans="1:11">
      <c r="A77" s="72" t="s">
        <v>207</v>
      </c>
      <c r="B77" s="72" t="s">
        <v>208</v>
      </c>
      <c r="C77" s="72">
        <v>6.375</v>
      </c>
      <c r="D77" s="76">
        <v>46905</v>
      </c>
      <c r="E77" s="72" t="s">
        <v>209</v>
      </c>
      <c r="F77" s="72">
        <v>105.279</v>
      </c>
      <c r="G77" s="73">
        <v>95103000</v>
      </c>
      <c r="H77" s="72">
        <v>4.1700580440000001</v>
      </c>
      <c r="I77" s="77">
        <f t="shared" si="2"/>
        <v>100123487.36999999</v>
      </c>
      <c r="J77" s="8"/>
      <c r="K77" s="8"/>
    </row>
    <row r="78" spans="1:11">
      <c r="A78" s="72" t="s">
        <v>207</v>
      </c>
      <c r="B78" s="72" t="s">
        <v>208</v>
      </c>
      <c r="C78" s="72">
        <v>4.25</v>
      </c>
      <c r="D78" s="76">
        <v>52383</v>
      </c>
      <c r="E78" s="72" t="s">
        <v>209</v>
      </c>
      <c r="F78" s="72">
        <v>80.567999999999998</v>
      </c>
      <c r="G78" s="73">
        <v>1000000000</v>
      </c>
      <c r="H78" s="72">
        <v>6.0786862920000004</v>
      </c>
      <c r="I78" s="77">
        <f t="shared" si="2"/>
        <v>805680000</v>
      </c>
      <c r="J78" s="8"/>
      <c r="K78" s="8"/>
    </row>
    <row r="79" spans="1:11">
      <c r="A79" s="72" t="s">
        <v>207</v>
      </c>
      <c r="B79" s="72" t="s">
        <v>208</v>
      </c>
      <c r="C79" s="72">
        <v>2.9</v>
      </c>
      <c r="D79" s="76">
        <v>46360</v>
      </c>
      <c r="E79" s="72" t="s">
        <v>209</v>
      </c>
      <c r="F79" s="72">
        <v>98.644999999999996</v>
      </c>
      <c r="G79" s="73">
        <v>750000000</v>
      </c>
      <c r="H79" s="72">
        <v>4.237455303</v>
      </c>
      <c r="I79" s="77">
        <f t="shared" si="2"/>
        <v>739837500</v>
      </c>
      <c r="J79" s="8"/>
      <c r="K79" s="8"/>
    </row>
    <row r="80" spans="1:11">
      <c r="A80" s="72" t="s">
        <v>207</v>
      </c>
      <c r="B80" s="72" t="s">
        <v>208</v>
      </c>
      <c r="C80" s="72">
        <v>5.15</v>
      </c>
      <c r="D80" s="76">
        <v>53646</v>
      </c>
      <c r="E80" s="72" t="s">
        <v>209</v>
      </c>
      <c r="F80" s="72">
        <v>93.442999999999998</v>
      </c>
      <c r="G80" s="73">
        <v>742629000</v>
      </c>
      <c r="H80" s="72">
        <v>5.6888574399999996</v>
      </c>
      <c r="I80" s="77">
        <f t="shared" si="2"/>
        <v>693934816.47000003</v>
      </c>
      <c r="J80" s="8"/>
      <c r="K80" s="8"/>
    </row>
    <row r="81" spans="1:11">
      <c r="A81" s="72" t="s">
        <v>207</v>
      </c>
      <c r="B81" s="72" t="s">
        <v>208</v>
      </c>
      <c r="C81" s="72">
        <v>5.45</v>
      </c>
      <c r="D81" s="76">
        <v>53752</v>
      </c>
      <c r="E81" s="72" t="s">
        <v>209</v>
      </c>
      <c r="F81" s="72">
        <v>96.677999999999997</v>
      </c>
      <c r="G81" s="73">
        <v>530518000</v>
      </c>
      <c r="H81" s="72">
        <v>5.7210413640000004</v>
      </c>
      <c r="I81" s="77">
        <f t="shared" si="2"/>
        <v>512894192.03999996</v>
      </c>
      <c r="J81" s="8"/>
      <c r="K81" s="8"/>
    </row>
    <row r="82" spans="1:11">
      <c r="A82" s="72" t="s">
        <v>207</v>
      </c>
      <c r="B82" s="72" t="s">
        <v>208</v>
      </c>
      <c r="C82" s="72">
        <v>4.375</v>
      </c>
      <c r="D82" s="76">
        <v>47375</v>
      </c>
      <c r="E82" s="72" t="s">
        <v>209</v>
      </c>
      <c r="F82" s="72">
        <v>99.679000000000002</v>
      </c>
      <c r="G82" s="73">
        <v>745000000</v>
      </c>
      <c r="H82" s="72">
        <v>4.4641369080000004</v>
      </c>
      <c r="I82" s="77">
        <f t="shared" si="2"/>
        <v>742608550</v>
      </c>
      <c r="J82" s="8"/>
      <c r="K82" s="8"/>
    </row>
    <row r="83" spans="1:11">
      <c r="A83" s="72" t="s">
        <v>207</v>
      </c>
      <c r="B83" s="72" t="s">
        <v>208</v>
      </c>
      <c r="C83" s="72">
        <v>6.1</v>
      </c>
      <c r="D83" s="76">
        <v>51332</v>
      </c>
      <c r="E83" s="72" t="s">
        <v>209</v>
      </c>
      <c r="F83" s="72">
        <v>105.315</v>
      </c>
      <c r="G83" s="73">
        <v>214359000</v>
      </c>
      <c r="H83" s="72">
        <v>5.564277658</v>
      </c>
      <c r="I83" s="77">
        <f t="shared" si="2"/>
        <v>225752180.84999999</v>
      </c>
      <c r="J83" s="8"/>
      <c r="K83" s="8"/>
    </row>
    <row r="84" spans="1:11">
      <c r="A84" s="72" t="s">
        <v>207</v>
      </c>
      <c r="B84" s="72" t="s">
        <v>208</v>
      </c>
      <c r="C84" s="72">
        <v>6.55</v>
      </c>
      <c r="D84" s="76">
        <v>46767</v>
      </c>
      <c r="E84" s="72" t="s">
        <v>209</v>
      </c>
      <c r="F84" s="72">
        <v>104.822</v>
      </c>
      <c r="G84" s="73">
        <v>114586000</v>
      </c>
      <c r="H84" s="72">
        <v>4.2003857619999998</v>
      </c>
      <c r="I84" s="77">
        <f t="shared" si="2"/>
        <v>120111336.91999999</v>
      </c>
      <c r="J84" s="8"/>
      <c r="K84" s="8"/>
    </row>
    <row r="85" spans="1:11">
      <c r="A85" s="72" t="s">
        <v>207</v>
      </c>
      <c r="B85" s="72" t="s">
        <v>208</v>
      </c>
      <c r="C85" s="72">
        <v>4.8499999999999996</v>
      </c>
      <c r="D85" s="76">
        <v>53837</v>
      </c>
      <c r="E85" s="72" t="s">
        <v>209</v>
      </c>
      <c r="F85" s="72">
        <v>97.741</v>
      </c>
      <c r="G85" s="73">
        <v>750000000</v>
      </c>
      <c r="H85" s="72">
        <v>5.0227262650000002</v>
      </c>
      <c r="I85" s="77">
        <f t="shared" si="2"/>
        <v>733057500</v>
      </c>
      <c r="J85" s="8"/>
      <c r="K85" s="8"/>
    </row>
    <row r="86" spans="1:11">
      <c r="A86" s="72" t="s">
        <v>207</v>
      </c>
      <c r="B86" s="72" t="s">
        <v>208</v>
      </c>
      <c r="C86" s="72">
        <v>3.3</v>
      </c>
      <c r="D86" s="76">
        <v>55550</v>
      </c>
      <c r="E86" s="72" t="s">
        <v>209</v>
      </c>
      <c r="F86" s="72">
        <v>66.460999999999999</v>
      </c>
      <c r="G86" s="73">
        <v>968594000</v>
      </c>
      <c r="H86" s="72">
        <v>5.8057297710000002</v>
      </c>
      <c r="I86" s="77">
        <f t="shared" si="2"/>
        <v>643737258.34000003</v>
      </c>
      <c r="J86" s="8"/>
      <c r="K86" s="8"/>
    </row>
    <row r="87" spans="1:11">
      <c r="A87" s="72" t="s">
        <v>207</v>
      </c>
      <c r="B87" s="72" t="s">
        <v>208</v>
      </c>
      <c r="C87" s="72">
        <v>2.5499999999999998</v>
      </c>
      <c r="D87" s="76">
        <v>48914</v>
      </c>
      <c r="E87" s="72" t="s">
        <v>209</v>
      </c>
      <c r="F87" s="72">
        <v>85.058999999999997</v>
      </c>
      <c r="G87" s="73">
        <v>10580000</v>
      </c>
      <c r="H87" s="72">
        <v>4.8102613830000003</v>
      </c>
      <c r="I87" s="77">
        <f t="shared" si="2"/>
        <v>8999242.1999999993</v>
      </c>
      <c r="J87" s="8"/>
      <c r="K87" s="8"/>
    </row>
    <row r="88" spans="1:11">
      <c r="A88" s="72" t="s">
        <v>207</v>
      </c>
      <c r="B88" s="72" t="s">
        <v>208</v>
      </c>
      <c r="C88" s="72">
        <v>2.95</v>
      </c>
      <c r="D88" s="76">
        <v>46218</v>
      </c>
      <c r="E88" s="72" t="s">
        <v>209</v>
      </c>
      <c r="F88" s="72">
        <v>99.31</v>
      </c>
      <c r="G88" s="73">
        <v>360361000</v>
      </c>
      <c r="H88" s="72">
        <v>3.9954906989999999</v>
      </c>
      <c r="I88" s="77">
        <f t="shared" si="2"/>
        <v>357874509.09999996</v>
      </c>
      <c r="J88" s="8"/>
      <c r="K88" s="8"/>
    </row>
    <row r="89" spans="1:11">
      <c r="A89" s="72" t="s">
        <v>213</v>
      </c>
      <c r="B89" s="72" t="s">
        <v>214</v>
      </c>
      <c r="C89" s="72">
        <v>6.0880000000000001</v>
      </c>
      <c r="D89" s="76">
        <v>52946</v>
      </c>
      <c r="E89" s="72" t="s">
        <v>215</v>
      </c>
      <c r="F89" s="72">
        <v>102.892</v>
      </c>
      <c r="G89" s="73">
        <v>979416306.60000002</v>
      </c>
      <c r="H89" s="72">
        <v>5.8364088939999998</v>
      </c>
      <c r="I89" s="77">
        <f t="shared" si="2"/>
        <v>1007741026.1868721</v>
      </c>
      <c r="J89" s="8"/>
      <c r="K89" s="8"/>
    </row>
    <row r="90" spans="1:11">
      <c r="A90" s="72" t="s">
        <v>207</v>
      </c>
      <c r="B90" s="72" t="s">
        <v>208</v>
      </c>
      <c r="C90" s="72">
        <v>5.0999999999999996</v>
      </c>
      <c r="D90" s="76">
        <v>54387</v>
      </c>
      <c r="E90" s="72" t="s">
        <v>209</v>
      </c>
      <c r="F90" s="72">
        <v>100.919</v>
      </c>
      <c r="G90" s="73">
        <v>750000000</v>
      </c>
      <c r="H90" s="72">
        <v>5.0320172120000004</v>
      </c>
      <c r="I90" s="77">
        <f t="shared" si="2"/>
        <v>756892500</v>
      </c>
      <c r="J90" s="8"/>
      <c r="K90" s="8"/>
    </row>
    <row r="91" spans="1:11">
      <c r="A91" s="72" t="s">
        <v>207</v>
      </c>
      <c r="B91" s="72" t="s">
        <v>208</v>
      </c>
      <c r="C91" s="72">
        <v>4.9000000000000004</v>
      </c>
      <c r="D91" s="76">
        <v>50267</v>
      </c>
      <c r="E91" s="72" t="s">
        <v>209</v>
      </c>
      <c r="F91" s="72">
        <v>97.918999999999997</v>
      </c>
      <c r="G91" s="73">
        <v>682961000</v>
      </c>
      <c r="H91" s="72">
        <v>5.137119845</v>
      </c>
      <c r="I91" s="77">
        <f t="shared" si="2"/>
        <v>668748581.59000003</v>
      </c>
      <c r="J91" s="8"/>
      <c r="K91" s="8"/>
    </row>
    <row r="92" spans="1:11">
      <c r="A92" s="72" t="s">
        <v>207</v>
      </c>
      <c r="B92" s="72" t="s">
        <v>208</v>
      </c>
      <c r="C92" s="72">
        <v>2.0499999999999998</v>
      </c>
      <c r="D92" s="76">
        <v>48353</v>
      </c>
      <c r="E92" s="72" t="s">
        <v>209</v>
      </c>
      <c r="F92" s="72">
        <v>93.265000000000001</v>
      </c>
      <c r="G92" s="73">
        <v>750000000</v>
      </c>
      <c r="H92" s="72">
        <v>3.211613635</v>
      </c>
      <c r="I92" s="77">
        <f t="shared" si="2"/>
        <v>699487500</v>
      </c>
      <c r="J92" s="8"/>
      <c r="K92" s="8"/>
    </row>
    <row r="93" spans="1:11">
      <c r="A93" s="72" t="s">
        <v>207</v>
      </c>
      <c r="B93" s="72" t="s">
        <v>208</v>
      </c>
      <c r="C93" s="72">
        <v>7.7</v>
      </c>
      <c r="D93" s="76">
        <v>48335</v>
      </c>
      <c r="E93" s="72" t="s">
        <v>209</v>
      </c>
      <c r="F93" s="72">
        <v>117.319</v>
      </c>
      <c r="G93" s="73">
        <v>156915000</v>
      </c>
      <c r="H93" s="72">
        <v>4.5753099590000001</v>
      </c>
      <c r="I93" s="77">
        <f t="shared" si="2"/>
        <v>184091108.84999999</v>
      </c>
      <c r="J93" s="8"/>
      <c r="K93" s="8"/>
    </row>
    <row r="94" spans="1:11">
      <c r="A94" s="72" t="s">
        <v>207</v>
      </c>
      <c r="B94" s="72" t="s">
        <v>208</v>
      </c>
      <c r="C94" s="72">
        <v>5.5</v>
      </c>
      <c r="D94" s="76">
        <v>46461</v>
      </c>
      <c r="E94" s="72" t="s">
        <v>209</v>
      </c>
      <c r="F94" s="72">
        <v>101.518</v>
      </c>
      <c r="G94" s="73">
        <v>600000000</v>
      </c>
      <c r="H94" s="72">
        <v>4.2826872519999997</v>
      </c>
      <c r="I94" s="77">
        <f t="shared" si="2"/>
        <v>609108000</v>
      </c>
      <c r="J94" s="8"/>
      <c r="K94" s="8"/>
    </row>
    <row r="95" spans="1:11">
      <c r="A95" s="72" t="s">
        <v>207</v>
      </c>
      <c r="B95" s="72" t="s">
        <v>208</v>
      </c>
      <c r="C95" s="72">
        <v>2.35</v>
      </c>
      <c r="D95" s="76">
        <v>47366</v>
      </c>
      <c r="E95" s="72" t="s">
        <v>209</v>
      </c>
      <c r="F95" s="72">
        <v>98.424999999999997</v>
      </c>
      <c r="G95" s="73">
        <v>1245556000</v>
      </c>
      <c r="H95" s="72">
        <v>2.7902401239999999</v>
      </c>
      <c r="I95" s="77">
        <f t="shared" si="2"/>
        <v>1225938493</v>
      </c>
      <c r="J95" s="8"/>
      <c r="K95" s="8"/>
    </row>
    <row r="96" spans="1:11">
      <c r="A96" s="72" t="s">
        <v>207</v>
      </c>
      <c r="B96" s="72" t="s">
        <v>208</v>
      </c>
      <c r="C96" s="72">
        <v>4.8499999999999996</v>
      </c>
      <c r="D96" s="76">
        <v>50830</v>
      </c>
      <c r="E96" s="72" t="s">
        <v>209</v>
      </c>
      <c r="F96" s="72">
        <v>95.977000000000004</v>
      </c>
      <c r="G96" s="73">
        <v>956236000</v>
      </c>
      <c r="H96" s="72">
        <v>5.2738816350000004</v>
      </c>
      <c r="I96" s="77">
        <f t="shared" si="2"/>
        <v>917766625.72000003</v>
      </c>
      <c r="J96" s="8"/>
      <c r="K96" s="8"/>
    </row>
    <row r="97" spans="1:11">
      <c r="A97" s="72" t="s">
        <v>207</v>
      </c>
      <c r="B97" s="72" t="s">
        <v>208</v>
      </c>
      <c r="C97" s="72">
        <v>4.5999999999999996</v>
      </c>
      <c r="D97" s="76">
        <v>47015</v>
      </c>
      <c r="E97" s="72" t="s">
        <v>209</v>
      </c>
      <c r="F97" s="72">
        <v>100.313</v>
      </c>
      <c r="G97" s="73">
        <v>400000000</v>
      </c>
      <c r="H97" s="72">
        <v>4.4794031240000001</v>
      </c>
      <c r="I97" s="77">
        <f t="shared" si="2"/>
        <v>401252000.00000006</v>
      </c>
      <c r="J97" s="8"/>
      <c r="K97" s="8"/>
    </row>
    <row r="98" spans="1:11">
      <c r="A98" s="72" t="s">
        <v>207</v>
      </c>
      <c r="B98" s="72" t="s">
        <v>208</v>
      </c>
      <c r="C98" s="72">
        <v>5.375</v>
      </c>
      <c r="D98" s="76">
        <v>51789</v>
      </c>
      <c r="E98" s="72" t="s">
        <v>209</v>
      </c>
      <c r="F98" s="72">
        <v>98.914000000000001</v>
      </c>
      <c r="G98" s="73">
        <v>139899000</v>
      </c>
      <c r="H98" s="72">
        <v>5.4776423090000002</v>
      </c>
      <c r="I98" s="77">
        <f t="shared" si="2"/>
        <v>138379696.86000001</v>
      </c>
      <c r="J98" s="8"/>
      <c r="K98" s="8"/>
    </row>
    <row r="99" spans="1:11">
      <c r="A99" s="72" t="s">
        <v>216</v>
      </c>
      <c r="B99" s="72" t="s">
        <v>208</v>
      </c>
      <c r="C99" s="72">
        <v>8.75</v>
      </c>
      <c r="D99" s="76">
        <v>47908</v>
      </c>
      <c r="E99" s="72" t="s">
        <v>217</v>
      </c>
      <c r="F99" s="72">
        <v>119.70399999999999</v>
      </c>
      <c r="G99" s="73">
        <v>228893000</v>
      </c>
      <c r="H99" s="72">
        <v>4.5244996439999996</v>
      </c>
      <c r="I99" s="77">
        <f t="shared" ref="I99:I130" si="3">G99*($F99/100)</f>
        <v>273994076.71999997</v>
      </c>
      <c r="J99" s="8"/>
      <c r="K99" s="8"/>
    </row>
    <row r="100" spans="1:11">
      <c r="A100" s="72" t="s">
        <v>218</v>
      </c>
      <c r="B100" s="72" t="s">
        <v>208</v>
      </c>
      <c r="C100" s="72">
        <v>7.125</v>
      </c>
      <c r="D100" s="76">
        <v>48197</v>
      </c>
      <c r="E100" s="72" t="s">
        <v>209</v>
      </c>
      <c r="F100" s="72">
        <v>111.47799999999999</v>
      </c>
      <c r="G100" s="73">
        <v>91543000</v>
      </c>
      <c r="H100" s="72">
        <v>4.9193916780000002</v>
      </c>
      <c r="I100" s="77">
        <f t="shared" si="3"/>
        <v>102050305.53999999</v>
      </c>
      <c r="J100" s="8"/>
      <c r="K100" s="8"/>
    </row>
    <row r="101" spans="1:11">
      <c r="A101" s="72" t="s">
        <v>207</v>
      </c>
      <c r="B101" s="72" t="s">
        <v>208</v>
      </c>
      <c r="C101" s="72">
        <v>5.15</v>
      </c>
      <c r="D101" s="76">
        <v>51940</v>
      </c>
      <c r="E101" s="72" t="s">
        <v>209</v>
      </c>
      <c r="F101" s="72">
        <v>96.334999999999994</v>
      </c>
      <c r="G101" s="73">
        <v>316928000</v>
      </c>
      <c r="H101" s="72">
        <v>5.4919643960000002</v>
      </c>
      <c r="I101" s="77">
        <f t="shared" si="3"/>
        <v>305312588.79999995</v>
      </c>
      <c r="J101" s="8"/>
      <c r="K101" s="8"/>
    </row>
    <row r="102" spans="1:11">
      <c r="A102" s="72" t="s">
        <v>207</v>
      </c>
      <c r="B102" s="72" t="s">
        <v>208</v>
      </c>
      <c r="C102" s="72">
        <v>6</v>
      </c>
      <c r="D102" s="76">
        <v>51363</v>
      </c>
      <c r="E102" s="72" t="s">
        <v>209</v>
      </c>
      <c r="F102" s="72">
        <v>105.19</v>
      </c>
      <c r="G102" s="73">
        <v>400455000</v>
      </c>
      <c r="H102" s="72">
        <v>5.4814951829999998</v>
      </c>
      <c r="I102" s="77">
        <f t="shared" si="3"/>
        <v>421238614.5</v>
      </c>
      <c r="J102" s="8"/>
      <c r="K102" s="8"/>
    </row>
    <row r="103" spans="1:11">
      <c r="A103" s="72" t="s">
        <v>207</v>
      </c>
      <c r="B103" s="72" t="s">
        <v>208</v>
      </c>
      <c r="C103" s="72">
        <v>6.15</v>
      </c>
      <c r="D103" s="76">
        <v>49202</v>
      </c>
      <c r="E103" s="72" t="s">
        <v>209</v>
      </c>
      <c r="F103" s="72">
        <v>107.95699999999999</v>
      </c>
      <c r="G103" s="73">
        <v>255512000</v>
      </c>
      <c r="H103" s="72">
        <v>5.0229435699999998</v>
      </c>
      <c r="I103" s="77">
        <f t="shared" si="3"/>
        <v>275843089.83999997</v>
      </c>
      <c r="J103" s="8"/>
      <c r="K103" s="8"/>
    </row>
    <row r="104" spans="1:11">
      <c r="A104" s="72" t="s">
        <v>207</v>
      </c>
      <c r="B104" s="72" t="s">
        <v>208</v>
      </c>
      <c r="C104" s="72">
        <v>6.95</v>
      </c>
      <c r="D104" s="76">
        <v>46767</v>
      </c>
      <c r="E104" s="72" t="s">
        <v>209</v>
      </c>
      <c r="F104" s="72">
        <v>105.777</v>
      </c>
      <c r="G104" s="73">
        <v>43801000</v>
      </c>
      <c r="H104" s="72">
        <v>4.1378891839999996</v>
      </c>
      <c r="I104" s="77">
        <f t="shared" si="3"/>
        <v>46331383.770000003</v>
      </c>
      <c r="J104" s="8"/>
      <c r="K104" s="8"/>
    </row>
    <row r="105" spans="1:11">
      <c r="A105" s="72" t="s">
        <v>207</v>
      </c>
      <c r="B105" s="72" t="s">
        <v>208</v>
      </c>
      <c r="C105" s="72">
        <v>1.8</v>
      </c>
      <c r="D105" s="76">
        <v>51027</v>
      </c>
      <c r="E105" s="72" t="s">
        <v>209</v>
      </c>
      <c r="F105" s="72">
        <v>77.745999999999995</v>
      </c>
      <c r="G105" s="73">
        <v>750000000</v>
      </c>
      <c r="H105" s="72">
        <v>3.9134005329999999</v>
      </c>
      <c r="I105" s="77">
        <f t="shared" si="3"/>
        <v>583095000</v>
      </c>
      <c r="J105" s="8"/>
      <c r="K105" s="8"/>
    </row>
    <row r="106" spans="1:11">
      <c r="A106" s="72" t="s">
        <v>207</v>
      </c>
      <c r="B106" s="72" t="s">
        <v>208</v>
      </c>
      <c r="C106" s="72">
        <v>5.35</v>
      </c>
      <c r="D106" s="76">
        <v>52580</v>
      </c>
      <c r="E106" s="72" t="s">
        <v>209</v>
      </c>
      <c r="F106" s="72">
        <v>95.781000000000006</v>
      </c>
      <c r="G106" s="73">
        <v>170912000</v>
      </c>
      <c r="H106" s="72">
        <v>5.7270961199999997</v>
      </c>
      <c r="I106" s="77">
        <f t="shared" si="3"/>
        <v>163701222.72</v>
      </c>
      <c r="J106" s="8"/>
      <c r="K106" s="8"/>
    </row>
    <row r="107" spans="1:11">
      <c r="A107" s="72" t="s">
        <v>207</v>
      </c>
      <c r="B107" s="72" t="s">
        <v>208</v>
      </c>
      <c r="C107" s="72">
        <v>5.3</v>
      </c>
      <c r="D107" s="76">
        <v>57937</v>
      </c>
      <c r="E107" s="72" t="s">
        <v>209</v>
      </c>
      <c r="F107" s="72">
        <v>90.611000000000004</v>
      </c>
      <c r="G107" s="73">
        <v>172725000</v>
      </c>
      <c r="H107" s="72">
        <v>5.9541888329999999</v>
      </c>
      <c r="I107" s="77">
        <f t="shared" si="3"/>
        <v>156507849.75</v>
      </c>
      <c r="J107" s="8"/>
      <c r="K107" s="8"/>
    </row>
    <row r="108" spans="1:11">
      <c r="A108" s="72" t="s">
        <v>207</v>
      </c>
      <c r="B108" s="72" t="s">
        <v>208</v>
      </c>
      <c r="C108" s="72">
        <v>4.5</v>
      </c>
      <c r="D108" s="76">
        <v>54126</v>
      </c>
      <c r="E108" s="72" t="s">
        <v>209</v>
      </c>
      <c r="F108" s="72">
        <v>84.17</v>
      </c>
      <c r="G108" s="73">
        <v>1732691000</v>
      </c>
      <c r="H108" s="72">
        <v>5.7695446629999996</v>
      </c>
      <c r="I108" s="77">
        <f t="shared" si="3"/>
        <v>1458406014.7</v>
      </c>
      <c r="J108" s="8"/>
      <c r="K108" s="8"/>
    </row>
    <row r="109" spans="1:11">
      <c r="A109" s="72" t="s">
        <v>207</v>
      </c>
      <c r="B109" s="72" t="s">
        <v>208</v>
      </c>
      <c r="C109" s="72">
        <v>6.55</v>
      </c>
      <c r="D109" s="76">
        <v>49110</v>
      </c>
      <c r="E109" s="72" t="s">
        <v>209</v>
      </c>
      <c r="F109" s="72">
        <v>111.139</v>
      </c>
      <c r="G109" s="73">
        <v>143801000</v>
      </c>
      <c r="H109" s="72">
        <v>4.9418732079999996</v>
      </c>
      <c r="I109" s="77">
        <f t="shared" si="3"/>
        <v>159818993.38999999</v>
      </c>
      <c r="J109" s="8"/>
      <c r="K109" s="8"/>
    </row>
    <row r="110" spans="1:11">
      <c r="A110" s="72" t="s">
        <v>207</v>
      </c>
      <c r="B110" s="72" t="s">
        <v>208</v>
      </c>
      <c r="C110" s="72">
        <v>6.25</v>
      </c>
      <c r="D110" s="76">
        <v>51589</v>
      </c>
      <c r="E110" s="72" t="s">
        <v>209</v>
      </c>
      <c r="F110" s="72">
        <v>106.545</v>
      </c>
      <c r="G110" s="73">
        <v>294119000</v>
      </c>
      <c r="H110" s="72">
        <v>5.6084205120000004</v>
      </c>
      <c r="I110" s="77">
        <f t="shared" si="3"/>
        <v>313369088.55000001</v>
      </c>
      <c r="J110" s="8"/>
      <c r="K110" s="8"/>
    </row>
    <row r="111" spans="1:11">
      <c r="A111" s="72" t="s">
        <v>207</v>
      </c>
      <c r="B111" s="72" t="s">
        <v>208</v>
      </c>
      <c r="C111" s="72">
        <v>6.55</v>
      </c>
      <c r="D111" s="76">
        <v>50816</v>
      </c>
      <c r="E111" s="72" t="s">
        <v>209</v>
      </c>
      <c r="F111" s="72">
        <v>111.52500000000001</v>
      </c>
      <c r="G111" s="73">
        <v>366360000</v>
      </c>
      <c r="H111" s="72">
        <v>5.3256459950000004</v>
      </c>
      <c r="I111" s="77">
        <f t="shared" si="3"/>
        <v>408582990</v>
      </c>
      <c r="J111" s="8"/>
      <c r="K111" s="8"/>
    </row>
    <row r="112" spans="1:11">
      <c r="A112" s="72" t="s">
        <v>210</v>
      </c>
      <c r="B112" s="72" t="s">
        <v>208</v>
      </c>
      <c r="C112" s="72">
        <v>7.875</v>
      </c>
      <c r="D112" s="76">
        <v>47529</v>
      </c>
      <c r="E112" s="72" t="s">
        <v>209</v>
      </c>
      <c r="F112" s="72">
        <v>112.611</v>
      </c>
      <c r="G112" s="73">
        <v>48735000</v>
      </c>
      <c r="H112" s="72">
        <v>4.5770280410000002</v>
      </c>
      <c r="I112" s="77">
        <f t="shared" si="3"/>
        <v>54880970.849999994</v>
      </c>
      <c r="J112" s="8"/>
      <c r="K112" s="8"/>
    </row>
    <row r="113" spans="1:11">
      <c r="A113" s="72" t="s">
        <v>207</v>
      </c>
      <c r="B113" s="72" t="s">
        <v>208</v>
      </c>
      <c r="C113" s="72">
        <v>5.7</v>
      </c>
      <c r="D113" s="76">
        <v>57405</v>
      </c>
      <c r="E113" s="72" t="s">
        <v>209</v>
      </c>
      <c r="F113" s="72">
        <v>98.308999999999997</v>
      </c>
      <c r="G113" s="73">
        <v>325476000</v>
      </c>
      <c r="H113" s="72">
        <v>5.8172885819999998</v>
      </c>
      <c r="I113" s="77">
        <f t="shared" si="3"/>
        <v>319972200.84000003</v>
      </c>
      <c r="J113" s="8"/>
      <c r="K113" s="8"/>
    </row>
    <row r="114" spans="1:11">
      <c r="A114" s="72" t="s">
        <v>207</v>
      </c>
      <c r="B114" s="72" t="s">
        <v>208</v>
      </c>
      <c r="C114" s="72">
        <v>3.1</v>
      </c>
      <c r="D114" s="76">
        <v>52263</v>
      </c>
      <c r="E114" s="72" t="s">
        <v>209</v>
      </c>
      <c r="F114" s="72">
        <v>74.194999999999993</v>
      </c>
      <c r="G114" s="73">
        <v>642455000</v>
      </c>
      <c r="H114" s="72">
        <v>5.42451141</v>
      </c>
      <c r="I114" s="77">
        <f t="shared" si="3"/>
        <v>476669487.24999994</v>
      </c>
      <c r="J114" s="8"/>
      <c r="K114" s="8"/>
    </row>
    <row r="115" spans="1:11">
      <c r="A115" s="72" t="s">
        <v>210</v>
      </c>
      <c r="B115" s="72" t="s">
        <v>208</v>
      </c>
      <c r="C115" s="72">
        <v>7.12</v>
      </c>
      <c r="D115" s="76">
        <v>72151</v>
      </c>
      <c r="E115" s="72" t="s">
        <v>209</v>
      </c>
      <c r="F115" s="72">
        <v>108.941</v>
      </c>
      <c r="G115" s="73">
        <v>45045000</v>
      </c>
      <c r="H115" s="72">
        <v>6.5294510079999997</v>
      </c>
      <c r="I115" s="77">
        <f t="shared" si="3"/>
        <v>49072473.450000003</v>
      </c>
      <c r="J115" s="8"/>
      <c r="K115" s="8"/>
    </row>
    <row r="116" spans="1:11">
      <c r="A116" s="72" t="s">
        <v>207</v>
      </c>
      <c r="B116" s="72" t="s">
        <v>208</v>
      </c>
      <c r="C116" s="72">
        <v>5.15</v>
      </c>
      <c r="D116" s="76">
        <v>54834</v>
      </c>
      <c r="E116" s="72" t="s">
        <v>209</v>
      </c>
      <c r="F116" s="72">
        <v>91.69</v>
      </c>
      <c r="G116" s="73">
        <v>587785000</v>
      </c>
      <c r="H116" s="72">
        <v>5.7912907249999996</v>
      </c>
      <c r="I116" s="77">
        <f t="shared" si="3"/>
        <v>538940066.5</v>
      </c>
      <c r="J116" s="8"/>
      <c r="K116" s="8"/>
    </row>
    <row r="117" spans="1:11">
      <c r="A117" s="72" t="s">
        <v>207</v>
      </c>
      <c r="B117" s="72" t="s">
        <v>208</v>
      </c>
      <c r="C117" s="72">
        <v>5.2</v>
      </c>
      <c r="D117" s="76">
        <v>48901</v>
      </c>
      <c r="E117" s="72" t="s">
        <v>209</v>
      </c>
      <c r="F117" s="72">
        <v>101.099</v>
      </c>
      <c r="G117" s="73">
        <v>342361000</v>
      </c>
      <c r="H117" s="72">
        <v>5.0297307680000003</v>
      </c>
      <c r="I117" s="77">
        <f t="shared" si="3"/>
        <v>346123547.39000005</v>
      </c>
      <c r="J117" s="8"/>
      <c r="K117" s="8"/>
    </row>
    <row r="118" spans="1:11">
      <c r="A118" s="72" t="s">
        <v>207</v>
      </c>
      <c r="B118" s="72" t="s">
        <v>208</v>
      </c>
      <c r="C118" s="72">
        <v>8.75</v>
      </c>
      <c r="D118" s="76">
        <v>48167</v>
      </c>
      <c r="E118" s="72" t="s">
        <v>209</v>
      </c>
      <c r="F118" s="72">
        <v>121.782</v>
      </c>
      <c r="G118" s="73">
        <v>59433000</v>
      </c>
      <c r="H118" s="72">
        <v>4.562406052</v>
      </c>
      <c r="I118" s="77">
        <f t="shared" si="3"/>
        <v>72378696.059999987</v>
      </c>
      <c r="J118" s="8"/>
      <c r="K118" s="8"/>
    </row>
    <row r="119" spans="1:11">
      <c r="A119" s="72" t="s">
        <v>207</v>
      </c>
      <c r="B119" s="72" t="s">
        <v>208</v>
      </c>
      <c r="C119" s="72">
        <v>4.0999999999999996</v>
      </c>
      <c r="D119" s="76">
        <v>46041</v>
      </c>
      <c r="E119" s="72" t="s">
        <v>209</v>
      </c>
      <c r="F119" s="72">
        <v>99.986999999999995</v>
      </c>
      <c r="G119" s="73">
        <v>300000000</v>
      </c>
      <c r="H119" s="72">
        <v>4.0834995029999996</v>
      </c>
      <c r="I119" s="77">
        <f t="shared" si="3"/>
        <v>299961000</v>
      </c>
      <c r="J119" s="8"/>
      <c r="K119" s="8"/>
    </row>
    <row r="120" spans="1:11">
      <c r="A120" s="72" t="s">
        <v>207</v>
      </c>
      <c r="B120" s="72" t="s">
        <v>208</v>
      </c>
      <c r="C120" s="72">
        <v>8.75</v>
      </c>
      <c r="D120" s="76">
        <v>47908</v>
      </c>
      <c r="E120" s="72" t="s">
        <v>209</v>
      </c>
      <c r="F120" s="72">
        <v>119.64100000000001</v>
      </c>
      <c r="G120" s="73">
        <v>173641000</v>
      </c>
      <c r="H120" s="72">
        <v>4.5366013069999997</v>
      </c>
      <c r="I120" s="77">
        <f t="shared" si="3"/>
        <v>207745828.81</v>
      </c>
      <c r="J120" s="8"/>
      <c r="K120" s="8"/>
    </row>
    <row r="121" spans="1:11">
      <c r="A121" s="72" t="s">
        <v>207</v>
      </c>
      <c r="B121" s="72" t="s">
        <v>208</v>
      </c>
      <c r="C121" s="72">
        <v>4.8</v>
      </c>
      <c r="D121" s="76">
        <v>52763</v>
      </c>
      <c r="E121" s="72" t="s">
        <v>209</v>
      </c>
      <c r="F121" s="72">
        <v>89.991</v>
      </c>
      <c r="G121" s="73">
        <v>455205000</v>
      </c>
      <c r="H121" s="72">
        <v>5.6782073500000001</v>
      </c>
      <c r="I121" s="77">
        <f t="shared" si="3"/>
        <v>409643531.55000001</v>
      </c>
      <c r="J121" s="8"/>
      <c r="K121" s="8"/>
    </row>
    <row r="122" spans="1:11">
      <c r="A122" s="72" t="s">
        <v>207</v>
      </c>
      <c r="B122" s="72" t="s">
        <v>208</v>
      </c>
      <c r="C122" s="72">
        <v>6.5</v>
      </c>
      <c r="D122" s="76">
        <v>49994</v>
      </c>
      <c r="E122" s="72" t="s">
        <v>209</v>
      </c>
      <c r="F122" s="72">
        <v>110.31699999999999</v>
      </c>
      <c r="G122" s="73">
        <v>124660000</v>
      </c>
      <c r="H122" s="72">
        <v>5.2536024990000003</v>
      </c>
      <c r="I122" s="77">
        <f t="shared" si="3"/>
        <v>137521172.19999999</v>
      </c>
      <c r="J122" s="8"/>
      <c r="K122" s="8"/>
    </row>
    <row r="123" spans="1:11">
      <c r="A123" s="72" t="s">
        <v>207</v>
      </c>
      <c r="B123" s="72" t="s">
        <v>208</v>
      </c>
      <c r="C123" s="72">
        <v>1.8</v>
      </c>
      <c r="D123" s="76">
        <v>46270</v>
      </c>
      <c r="E123" s="72" t="s">
        <v>209</v>
      </c>
      <c r="F123" s="72">
        <v>99.117999999999995</v>
      </c>
      <c r="G123" s="73">
        <v>22543000</v>
      </c>
      <c r="H123" s="72">
        <v>2.9067480529999998</v>
      </c>
      <c r="I123" s="77">
        <f t="shared" si="3"/>
        <v>22344170.739999998</v>
      </c>
      <c r="J123" s="8"/>
      <c r="K123" s="8"/>
    </row>
    <row r="124" spans="1:11">
      <c r="A124" s="72" t="s">
        <v>207</v>
      </c>
      <c r="B124" s="72" t="s">
        <v>208</v>
      </c>
      <c r="C124" s="72">
        <v>4</v>
      </c>
      <c r="D124" s="76">
        <v>54575</v>
      </c>
      <c r="E124" s="72" t="s">
        <v>209</v>
      </c>
      <c r="F124" s="72">
        <v>78.197000000000003</v>
      </c>
      <c r="G124" s="73">
        <v>2995000000</v>
      </c>
      <c r="H124" s="72">
        <v>5.6922661220000004</v>
      </c>
      <c r="I124" s="77">
        <f t="shared" si="3"/>
        <v>2342000150</v>
      </c>
      <c r="J124" s="8"/>
      <c r="K124" s="8"/>
    </row>
    <row r="125" spans="1:11">
      <c r="A125" s="72" t="s">
        <v>207</v>
      </c>
      <c r="B125" s="72" t="s">
        <v>208</v>
      </c>
      <c r="C125" s="72">
        <v>3.85</v>
      </c>
      <c r="D125" s="76">
        <v>58593</v>
      </c>
      <c r="E125" s="72" t="s">
        <v>209</v>
      </c>
      <c r="F125" s="72">
        <v>70.56</v>
      </c>
      <c r="G125" s="73">
        <v>1500000000</v>
      </c>
      <c r="H125" s="72">
        <v>5.8422630099999999</v>
      </c>
      <c r="I125" s="77">
        <f t="shared" si="3"/>
        <v>1058400000</v>
      </c>
      <c r="J125" s="8"/>
      <c r="K125" s="8"/>
    </row>
    <row r="126" spans="1:11">
      <c r="A126" s="72" t="s">
        <v>207</v>
      </c>
      <c r="B126" s="72" t="s">
        <v>208</v>
      </c>
      <c r="C126" s="72">
        <v>7.125</v>
      </c>
      <c r="D126" s="76">
        <v>48197</v>
      </c>
      <c r="E126" s="72" t="s">
        <v>209</v>
      </c>
      <c r="F126" s="72">
        <v>113.842</v>
      </c>
      <c r="G126" s="73">
        <v>148730000</v>
      </c>
      <c r="H126" s="72">
        <v>4.4996347060000002</v>
      </c>
      <c r="I126" s="77">
        <f t="shared" si="3"/>
        <v>169317206.59999999</v>
      </c>
      <c r="J126" s="8"/>
      <c r="K126" s="8"/>
    </row>
    <row r="127" spans="1:11">
      <c r="A127" s="72" t="s">
        <v>207</v>
      </c>
      <c r="B127" s="72" t="s">
        <v>208</v>
      </c>
      <c r="C127" s="72">
        <v>6.2</v>
      </c>
      <c r="D127" s="76">
        <v>51210</v>
      </c>
      <c r="E127" s="72" t="s">
        <v>209</v>
      </c>
      <c r="F127" s="72">
        <v>108.917</v>
      </c>
      <c r="G127" s="73">
        <v>202930000</v>
      </c>
      <c r="H127" s="72">
        <v>5.3032780099999997</v>
      </c>
      <c r="I127" s="77">
        <f t="shared" si="3"/>
        <v>221025268.09999999</v>
      </c>
      <c r="J127" s="8"/>
      <c r="K127" s="8"/>
    </row>
    <row r="128" spans="1:11">
      <c r="A128" s="72" t="s">
        <v>207</v>
      </c>
      <c r="B128" s="72" t="s">
        <v>208</v>
      </c>
      <c r="C128" s="72">
        <v>6.4</v>
      </c>
      <c r="D128" s="76">
        <v>50540</v>
      </c>
      <c r="E128" s="72" t="s">
        <v>209</v>
      </c>
      <c r="F128" s="72">
        <v>107.64</v>
      </c>
      <c r="G128" s="73">
        <v>140131000</v>
      </c>
      <c r="H128" s="72">
        <v>5.5448159979999998</v>
      </c>
      <c r="I128" s="77">
        <f t="shared" si="3"/>
        <v>150837008.40000001</v>
      </c>
      <c r="J128" s="8"/>
      <c r="K128" s="8"/>
    </row>
    <row r="129" spans="1:11">
      <c r="A129" s="72" t="s">
        <v>207</v>
      </c>
      <c r="B129" s="72" t="s">
        <v>208</v>
      </c>
      <c r="C129" s="72">
        <v>4.55</v>
      </c>
      <c r="D129" s="76">
        <v>54491</v>
      </c>
      <c r="E129" s="72" t="s">
        <v>209</v>
      </c>
      <c r="F129" s="72">
        <v>84.566000000000003</v>
      </c>
      <c r="G129" s="73">
        <v>930104000</v>
      </c>
      <c r="H129" s="72">
        <v>5.7606035840000001</v>
      </c>
      <c r="I129" s="77">
        <f t="shared" si="3"/>
        <v>786551748.6400001</v>
      </c>
      <c r="J129" s="8"/>
      <c r="K129" s="8"/>
    </row>
    <row r="130" spans="1:11">
      <c r="A130" s="72" t="s">
        <v>207</v>
      </c>
      <c r="B130" s="72" t="s">
        <v>208</v>
      </c>
      <c r="C130" s="72">
        <v>7.875</v>
      </c>
      <c r="D130" s="76">
        <v>47529</v>
      </c>
      <c r="E130" s="72" t="s">
        <v>209</v>
      </c>
      <c r="F130" s="72">
        <v>113.288</v>
      </c>
      <c r="G130" s="73">
        <v>169311000</v>
      </c>
      <c r="H130" s="72">
        <v>4.4130957009999996</v>
      </c>
      <c r="I130" s="77">
        <f t="shared" si="3"/>
        <v>191809045.67999998</v>
      </c>
      <c r="J130" s="8"/>
      <c r="K130" s="8"/>
    </row>
    <row r="131" spans="1:11">
      <c r="A131" s="72" t="s">
        <v>219</v>
      </c>
      <c r="B131" s="72" t="s">
        <v>208</v>
      </c>
      <c r="C131" s="72">
        <v>7.3</v>
      </c>
      <c r="D131" s="76">
        <v>46249</v>
      </c>
      <c r="E131" s="72" t="s">
        <v>209</v>
      </c>
      <c r="F131" s="72">
        <v>102.26600000000001</v>
      </c>
      <c r="G131" s="73">
        <v>26190000</v>
      </c>
      <c r="H131" s="72">
        <v>4.2086025510000002</v>
      </c>
      <c r="I131" s="77">
        <f t="shared" ref="I131:I162" si="4">G131*($F131/100)</f>
        <v>26783465.400000002</v>
      </c>
      <c r="J131" s="8"/>
      <c r="K131" s="8"/>
    </row>
    <row r="132" spans="1:11">
      <c r="A132" s="72" t="s">
        <v>207</v>
      </c>
      <c r="B132" s="72" t="s">
        <v>208</v>
      </c>
      <c r="C132" s="72">
        <v>5.65</v>
      </c>
      <c r="D132" s="76">
        <v>53738</v>
      </c>
      <c r="E132" s="72" t="s">
        <v>209</v>
      </c>
      <c r="F132" s="72">
        <v>102.645</v>
      </c>
      <c r="G132" s="73">
        <v>806157000</v>
      </c>
      <c r="H132" s="72">
        <v>5.437824505</v>
      </c>
      <c r="I132" s="77">
        <f t="shared" si="4"/>
        <v>827479852.64999986</v>
      </c>
      <c r="J132" s="8"/>
      <c r="K132" s="8"/>
    </row>
    <row r="133" spans="1:11">
      <c r="A133" s="72" t="s">
        <v>207</v>
      </c>
      <c r="B133" s="72" t="s">
        <v>208</v>
      </c>
      <c r="C133" s="72">
        <v>3.75</v>
      </c>
      <c r="D133" s="76">
        <v>55032</v>
      </c>
      <c r="E133" s="72" t="s">
        <v>209</v>
      </c>
      <c r="F133" s="72">
        <v>80.864000000000004</v>
      </c>
      <c r="G133" s="73">
        <v>1050000000</v>
      </c>
      <c r="H133" s="72">
        <v>5.120901151</v>
      </c>
      <c r="I133" s="77">
        <f t="shared" si="4"/>
        <v>849072000</v>
      </c>
      <c r="J133" s="8"/>
      <c r="K133" s="8"/>
    </row>
    <row r="134" spans="1:11">
      <c r="A134" s="72" t="s">
        <v>207</v>
      </c>
      <c r="B134" s="72" t="s">
        <v>208</v>
      </c>
      <c r="C134" s="72">
        <v>7.625</v>
      </c>
      <c r="D134" s="76">
        <v>47953</v>
      </c>
      <c r="E134" s="72" t="s">
        <v>209</v>
      </c>
      <c r="F134" s="72">
        <v>114.61799999999999</v>
      </c>
      <c r="G134" s="73">
        <v>122977000</v>
      </c>
      <c r="H134" s="72">
        <v>4.5511582959999997</v>
      </c>
      <c r="I134" s="77">
        <f t="shared" si="4"/>
        <v>140953777.85999998</v>
      </c>
      <c r="J134" s="8"/>
      <c r="K134" s="8"/>
    </row>
    <row r="135" spans="1:11">
      <c r="A135" s="72" t="s">
        <v>207</v>
      </c>
      <c r="B135" s="72" t="s">
        <v>208</v>
      </c>
      <c r="C135" s="72">
        <v>7</v>
      </c>
      <c r="D135" s="76">
        <v>71559</v>
      </c>
      <c r="E135" s="72" t="s">
        <v>217</v>
      </c>
      <c r="F135" s="72">
        <v>111.104</v>
      </c>
      <c r="G135" s="73">
        <v>45534000</v>
      </c>
      <c r="H135" s="72">
        <v>6.2918121210000004</v>
      </c>
      <c r="I135" s="77">
        <f t="shared" si="4"/>
        <v>50590095.359999999</v>
      </c>
      <c r="J135" s="8"/>
      <c r="K135" s="8"/>
    </row>
    <row r="136" spans="1:11">
      <c r="A136" s="72" t="s">
        <v>211</v>
      </c>
      <c r="B136" s="72" t="s">
        <v>208</v>
      </c>
      <c r="C136" s="72">
        <v>6.875</v>
      </c>
      <c r="D136" s="76">
        <v>46675</v>
      </c>
      <c r="E136" s="72" t="s">
        <v>209</v>
      </c>
      <c r="F136" s="72">
        <v>104.74299999999999</v>
      </c>
      <c r="G136" s="73">
        <v>35836000</v>
      </c>
      <c r="H136" s="72">
        <v>4.2758751339999996</v>
      </c>
      <c r="I136" s="77">
        <f t="shared" si="4"/>
        <v>37535701.479999997</v>
      </c>
      <c r="J136" s="8"/>
      <c r="K136" s="8"/>
    </row>
    <row r="137" spans="1:11">
      <c r="A137" s="72" t="s">
        <v>207</v>
      </c>
      <c r="B137" s="72" t="s">
        <v>208</v>
      </c>
      <c r="C137" s="72">
        <v>6.35</v>
      </c>
      <c r="D137" s="76">
        <v>51210</v>
      </c>
      <c r="E137" s="72" t="s">
        <v>209</v>
      </c>
      <c r="F137" s="72">
        <v>107.423</v>
      </c>
      <c r="G137" s="73">
        <v>77792000</v>
      </c>
      <c r="H137" s="72">
        <v>5.5896288089999997</v>
      </c>
      <c r="I137" s="77">
        <f t="shared" si="4"/>
        <v>83566500.159999996</v>
      </c>
      <c r="J137" s="8"/>
      <c r="K137" s="8"/>
    </row>
    <row r="138" spans="1:11">
      <c r="A138" s="72" t="s">
        <v>207</v>
      </c>
      <c r="B138" s="72" t="s">
        <v>208</v>
      </c>
      <c r="C138" s="72">
        <v>6.8</v>
      </c>
      <c r="D138" s="76">
        <v>49810</v>
      </c>
      <c r="E138" s="72" t="s">
        <v>209</v>
      </c>
      <c r="F138" s="72">
        <v>112.099</v>
      </c>
      <c r="G138" s="73">
        <v>127315000</v>
      </c>
      <c r="H138" s="72">
        <v>5.2843854019999998</v>
      </c>
      <c r="I138" s="77">
        <f t="shared" si="4"/>
        <v>142718841.84999999</v>
      </c>
      <c r="J138" s="8"/>
      <c r="K138" s="8"/>
    </row>
    <row r="139" spans="1:11">
      <c r="A139" s="72" t="s">
        <v>207</v>
      </c>
      <c r="B139" s="72" t="s">
        <v>208</v>
      </c>
      <c r="C139" s="72">
        <v>4.9000000000000004</v>
      </c>
      <c r="D139" s="76">
        <v>52032</v>
      </c>
      <c r="E139" s="72" t="s">
        <v>209</v>
      </c>
      <c r="F139" s="72">
        <v>90.894000000000005</v>
      </c>
      <c r="G139" s="73">
        <v>134458000</v>
      </c>
      <c r="H139" s="72">
        <v>5.7590826809999998</v>
      </c>
      <c r="I139" s="77">
        <f t="shared" si="4"/>
        <v>122214254.52000001</v>
      </c>
      <c r="J139" s="8"/>
      <c r="K139" s="8"/>
    </row>
    <row r="140" spans="1:11">
      <c r="A140" s="72" t="s">
        <v>207</v>
      </c>
      <c r="B140" s="72" t="s">
        <v>208</v>
      </c>
      <c r="C140" s="72">
        <v>6</v>
      </c>
      <c r="D140" s="76">
        <v>49263</v>
      </c>
      <c r="E140" s="72" t="s">
        <v>209</v>
      </c>
      <c r="F140" s="72">
        <v>104.559</v>
      </c>
      <c r="G140" s="73">
        <v>70701000</v>
      </c>
      <c r="H140" s="72">
        <v>5.3552283699999998</v>
      </c>
      <c r="I140" s="77">
        <f t="shared" si="4"/>
        <v>73924258.590000004</v>
      </c>
      <c r="J140" s="8"/>
      <c r="K140" s="8"/>
    </row>
    <row r="141" spans="1:11">
      <c r="A141" s="72" t="s">
        <v>207</v>
      </c>
      <c r="B141" s="72" t="s">
        <v>208</v>
      </c>
      <c r="C141" s="72">
        <v>4.6500000000000004</v>
      </c>
      <c r="D141" s="76">
        <v>52749</v>
      </c>
      <c r="E141" s="72" t="s">
        <v>209</v>
      </c>
      <c r="F141" s="72">
        <v>88.552999999999997</v>
      </c>
      <c r="G141" s="73">
        <v>470656000</v>
      </c>
      <c r="H141" s="72">
        <v>5.653927951</v>
      </c>
      <c r="I141" s="77">
        <f t="shared" si="4"/>
        <v>416780007.67999995</v>
      </c>
      <c r="J141" s="8"/>
      <c r="K141" s="8"/>
    </row>
    <row r="142" spans="1:11">
      <c r="A142" s="72" t="s">
        <v>207</v>
      </c>
      <c r="B142" s="72" t="s">
        <v>208</v>
      </c>
      <c r="C142" s="72">
        <v>3.5</v>
      </c>
      <c r="D142" s="76">
        <v>56142</v>
      </c>
      <c r="E142" s="72" t="s">
        <v>209</v>
      </c>
      <c r="F142" s="72">
        <v>68.582999999999998</v>
      </c>
      <c r="G142" s="73">
        <v>3734000</v>
      </c>
      <c r="H142" s="72">
        <v>5.7837422680000001</v>
      </c>
      <c r="I142" s="77">
        <f t="shared" si="4"/>
        <v>2560889.2199999997</v>
      </c>
      <c r="J142" s="8"/>
      <c r="K142" s="8"/>
    </row>
    <row r="143" spans="1:11">
      <c r="A143" s="72" t="s">
        <v>207</v>
      </c>
      <c r="B143" s="72" t="s">
        <v>208</v>
      </c>
      <c r="C143" s="72">
        <v>3.55</v>
      </c>
      <c r="D143" s="76">
        <v>56872</v>
      </c>
      <c r="E143" s="72" t="s">
        <v>209</v>
      </c>
      <c r="F143" s="72">
        <v>68.238</v>
      </c>
      <c r="G143" s="73">
        <v>4872000</v>
      </c>
      <c r="H143" s="72">
        <v>5.8007096980000004</v>
      </c>
      <c r="I143" s="77">
        <f t="shared" si="4"/>
        <v>3324555.36</v>
      </c>
      <c r="J143" s="8"/>
      <c r="K143" s="8"/>
    </row>
    <row r="144" spans="1:11">
      <c r="A144" s="72" t="s">
        <v>207</v>
      </c>
      <c r="B144" s="72" t="s">
        <v>208</v>
      </c>
      <c r="C144" s="72">
        <v>4.25</v>
      </c>
      <c r="D144" s="76">
        <v>54848</v>
      </c>
      <c r="E144" s="72" t="s">
        <v>209</v>
      </c>
      <c r="F144" s="72">
        <v>81.558999999999997</v>
      </c>
      <c r="G144" s="73">
        <v>1265000000</v>
      </c>
      <c r="H144" s="72">
        <v>5.6548013609999996</v>
      </c>
      <c r="I144" s="77">
        <f t="shared" si="4"/>
        <v>1031721349.9999999</v>
      </c>
      <c r="J144" s="8"/>
      <c r="K144" s="8"/>
    </row>
    <row r="145" spans="1:11">
      <c r="A145" s="72" t="s">
        <v>207</v>
      </c>
      <c r="B145" s="72" t="s">
        <v>208</v>
      </c>
      <c r="C145" s="72">
        <v>2.35</v>
      </c>
      <c r="D145" s="76">
        <v>47366</v>
      </c>
      <c r="E145" s="72" t="s">
        <v>209</v>
      </c>
      <c r="F145" s="72">
        <v>98.301000000000002</v>
      </c>
      <c r="G145" s="73">
        <v>14913000</v>
      </c>
      <c r="H145" s="72">
        <v>2.825381251</v>
      </c>
      <c r="I145" s="77">
        <f t="shared" si="4"/>
        <v>14659628.130000001</v>
      </c>
      <c r="J145" s="8"/>
      <c r="K145" s="8"/>
    </row>
    <row r="146" spans="1:11">
      <c r="A146" s="72" t="s">
        <v>207</v>
      </c>
      <c r="B146" s="72" t="s">
        <v>208</v>
      </c>
      <c r="C146" s="72">
        <v>7.12</v>
      </c>
      <c r="D146" s="76">
        <v>72151</v>
      </c>
      <c r="E146" s="72" t="s">
        <v>209</v>
      </c>
      <c r="F146" s="72">
        <v>115.18899999999999</v>
      </c>
      <c r="G146" s="73">
        <v>85856000</v>
      </c>
      <c r="H146" s="72">
        <v>6.1699007909999999</v>
      </c>
      <c r="I146" s="77">
        <f t="shared" si="4"/>
        <v>98896667.839999989</v>
      </c>
      <c r="J146" s="8"/>
      <c r="K146" s="8"/>
    </row>
    <row r="147" spans="1:11">
      <c r="A147" s="72" t="s">
        <v>207</v>
      </c>
      <c r="B147" s="72" t="s">
        <v>208</v>
      </c>
      <c r="C147" s="72">
        <v>2.5499999999999998</v>
      </c>
      <c r="D147" s="76">
        <v>48914</v>
      </c>
      <c r="E147" s="72" t="s">
        <v>209</v>
      </c>
      <c r="F147" s="72">
        <v>85.058999999999997</v>
      </c>
      <c r="G147" s="73">
        <v>10580000</v>
      </c>
      <c r="H147" s="72">
        <v>4.8102613830000003</v>
      </c>
      <c r="I147" s="77">
        <f t="shared" si="4"/>
        <v>8999242.1999999993</v>
      </c>
      <c r="J147" s="8"/>
      <c r="K147" s="8"/>
    </row>
    <row r="148" spans="1:11">
      <c r="A148" s="72" t="s">
        <v>207</v>
      </c>
      <c r="B148" s="72" t="s">
        <v>208</v>
      </c>
      <c r="C148" s="72">
        <v>1.875</v>
      </c>
      <c r="D148" s="76">
        <v>47821</v>
      </c>
      <c r="E148" s="72" t="s">
        <v>209</v>
      </c>
      <c r="F148" s="72">
        <v>107.428</v>
      </c>
      <c r="G148" s="73">
        <v>150000000</v>
      </c>
      <c r="H148" s="72">
        <v>0.38836488400000002</v>
      </c>
      <c r="I148" s="77">
        <f t="shared" si="4"/>
        <v>161142000</v>
      </c>
      <c r="J148" s="8"/>
      <c r="K148" s="8"/>
    </row>
    <row r="149" spans="1:11">
      <c r="A149" s="72" t="s">
        <v>207</v>
      </c>
      <c r="B149" s="72" t="s">
        <v>208</v>
      </c>
      <c r="C149" s="72">
        <v>4.8499999999999996</v>
      </c>
      <c r="D149" s="76">
        <v>53158</v>
      </c>
      <c r="E149" s="72" t="s">
        <v>209</v>
      </c>
      <c r="F149" s="72">
        <v>90.26</v>
      </c>
      <c r="G149" s="73">
        <v>310945000</v>
      </c>
      <c r="H149" s="72">
        <v>5.6777201010000002</v>
      </c>
      <c r="I149" s="77">
        <f t="shared" si="4"/>
        <v>280658957</v>
      </c>
      <c r="J149" s="8"/>
      <c r="K149" s="8"/>
    </row>
    <row r="150" spans="1:11">
      <c r="A150" s="72" t="s">
        <v>207</v>
      </c>
      <c r="B150" s="72" t="s">
        <v>208</v>
      </c>
      <c r="C150" s="72">
        <v>4.0999999999999996</v>
      </c>
      <c r="D150" s="76">
        <v>46798</v>
      </c>
      <c r="E150" s="72" t="s">
        <v>209</v>
      </c>
      <c r="F150" s="72">
        <v>99.953999999999994</v>
      </c>
      <c r="G150" s="73">
        <v>13099000</v>
      </c>
      <c r="H150" s="72">
        <v>4.1191176489999997</v>
      </c>
      <c r="I150" s="77">
        <f t="shared" si="4"/>
        <v>13092974.459999999</v>
      </c>
      <c r="J150" s="8"/>
      <c r="K150" s="8"/>
    </row>
    <row r="151" spans="1:11">
      <c r="A151" s="72" t="s">
        <v>207</v>
      </c>
      <c r="B151" s="72" t="s">
        <v>208</v>
      </c>
      <c r="C151" s="72">
        <v>4.3</v>
      </c>
      <c r="D151" s="76">
        <v>47529</v>
      </c>
      <c r="E151" s="72" t="s">
        <v>209</v>
      </c>
      <c r="F151" s="72">
        <v>100.151</v>
      </c>
      <c r="G151" s="73">
        <v>12246000</v>
      </c>
      <c r="H151" s="72">
        <v>4.2593602519999996</v>
      </c>
      <c r="I151" s="77">
        <f t="shared" si="4"/>
        <v>12264491.459999999</v>
      </c>
      <c r="J151" s="8"/>
      <c r="K151" s="8"/>
    </row>
    <row r="152" spans="1:11">
      <c r="A152" s="72" t="s">
        <v>207</v>
      </c>
      <c r="B152" s="72" t="s">
        <v>208</v>
      </c>
      <c r="C152" s="72">
        <v>6.875</v>
      </c>
      <c r="D152" s="76">
        <v>48136</v>
      </c>
      <c r="E152" s="72" t="s">
        <v>209</v>
      </c>
      <c r="F152" s="72">
        <v>110.38200000000001</v>
      </c>
      <c r="G152" s="73">
        <v>108045000</v>
      </c>
      <c r="H152" s="72">
        <v>4.8368622080000003</v>
      </c>
      <c r="I152" s="77">
        <f t="shared" si="4"/>
        <v>119262231.90000001</v>
      </c>
      <c r="J152" s="8"/>
      <c r="K152" s="8"/>
    </row>
    <row r="153" spans="1:11">
      <c r="A153" s="72" t="s">
        <v>207</v>
      </c>
      <c r="B153" s="72" t="s">
        <v>208</v>
      </c>
      <c r="C153" s="72">
        <v>5.35</v>
      </c>
      <c r="D153" s="76">
        <v>51380</v>
      </c>
      <c r="E153" s="72" t="s">
        <v>209</v>
      </c>
      <c r="F153" s="72">
        <v>99.152000000000001</v>
      </c>
      <c r="G153" s="73">
        <v>62000</v>
      </c>
      <c r="H153" s="72">
        <v>5.4332711619999996</v>
      </c>
      <c r="I153" s="77">
        <f t="shared" si="4"/>
        <v>61474.239999999998</v>
      </c>
      <c r="J153" s="8"/>
      <c r="K153" s="8"/>
    </row>
    <row r="154" spans="1:11">
      <c r="A154" s="72" t="s">
        <v>207</v>
      </c>
      <c r="B154" s="72" t="s">
        <v>208</v>
      </c>
      <c r="C154" s="72">
        <v>4.0999999999999996</v>
      </c>
      <c r="D154" s="76">
        <v>46798</v>
      </c>
      <c r="E154" s="72" t="s">
        <v>209</v>
      </c>
      <c r="F154" s="72">
        <v>99.953999999999994</v>
      </c>
      <c r="G154" s="73">
        <v>13099000</v>
      </c>
      <c r="H154" s="72">
        <v>4.1191176489999997</v>
      </c>
      <c r="I154" s="77">
        <f t="shared" si="4"/>
        <v>13092974.459999999</v>
      </c>
      <c r="J154" s="8"/>
      <c r="K154" s="8"/>
    </row>
    <row r="155" spans="1:11">
      <c r="A155" s="72" t="s">
        <v>207</v>
      </c>
      <c r="B155" s="72" t="s">
        <v>208</v>
      </c>
      <c r="C155" s="72">
        <v>6.625</v>
      </c>
      <c r="D155" s="76">
        <v>47253</v>
      </c>
      <c r="E155" s="72" t="s">
        <v>209</v>
      </c>
      <c r="F155" s="72">
        <v>107.15600000000001</v>
      </c>
      <c r="G155" s="73">
        <v>180874000</v>
      </c>
      <c r="H155" s="72">
        <v>4.3997489730000003</v>
      </c>
      <c r="I155" s="77">
        <f t="shared" si="4"/>
        <v>193817343.44</v>
      </c>
      <c r="J155" s="8"/>
      <c r="K155" s="8"/>
    </row>
    <row r="156" spans="1:11">
      <c r="A156" s="72" t="s">
        <v>207</v>
      </c>
      <c r="B156" s="72" t="s">
        <v>208</v>
      </c>
      <c r="C156" s="72">
        <v>5.3</v>
      </c>
      <c r="D156" s="76">
        <v>57937</v>
      </c>
      <c r="E156" s="72" t="s">
        <v>209</v>
      </c>
      <c r="F156" s="72">
        <v>86.796000000000006</v>
      </c>
      <c r="G156" s="73">
        <v>38000</v>
      </c>
      <c r="H156" s="72">
        <v>6.2514878950000003</v>
      </c>
      <c r="I156" s="77">
        <f t="shared" si="4"/>
        <v>32982.480000000003</v>
      </c>
      <c r="J156" s="8"/>
      <c r="K156" s="8"/>
    </row>
    <row r="157" spans="1:11">
      <c r="A157" s="72" t="s">
        <v>207</v>
      </c>
      <c r="B157" s="72" t="s">
        <v>208</v>
      </c>
      <c r="C157" s="72">
        <v>3.8</v>
      </c>
      <c r="D157" s="76">
        <v>57680</v>
      </c>
      <c r="E157" s="72" t="s">
        <v>209</v>
      </c>
      <c r="F157" s="72">
        <v>70.781999999999996</v>
      </c>
      <c r="G157" s="73">
        <v>169000</v>
      </c>
      <c r="H157" s="72">
        <v>5.8224310160000003</v>
      </c>
      <c r="I157" s="77">
        <f t="shared" si="4"/>
        <v>119621.58</v>
      </c>
      <c r="J157" s="8"/>
      <c r="K157" s="8"/>
    </row>
    <row r="158" spans="1:11">
      <c r="A158" s="72" t="s">
        <v>207</v>
      </c>
      <c r="B158" s="72" t="s">
        <v>208</v>
      </c>
      <c r="C158" s="72">
        <v>3.5</v>
      </c>
      <c r="D158" s="76">
        <v>56142</v>
      </c>
      <c r="E158" s="72" t="s">
        <v>209</v>
      </c>
      <c r="F158" s="72">
        <v>68.582999999999998</v>
      </c>
      <c r="G158" s="73">
        <v>3734000</v>
      </c>
      <c r="H158" s="72">
        <v>5.7837422680000001</v>
      </c>
      <c r="I158" s="77">
        <f t="shared" si="4"/>
        <v>2560889.2199999997</v>
      </c>
      <c r="J158" s="8"/>
      <c r="K158" s="8"/>
    </row>
    <row r="159" spans="1:11">
      <c r="A159" s="72" t="s">
        <v>207</v>
      </c>
      <c r="B159" s="72" t="s">
        <v>208</v>
      </c>
      <c r="C159" s="72">
        <v>3.55</v>
      </c>
      <c r="D159" s="76">
        <v>56872</v>
      </c>
      <c r="E159" s="72" t="s">
        <v>209</v>
      </c>
      <c r="F159" s="72">
        <v>68.238</v>
      </c>
      <c r="G159" s="73">
        <v>4872000</v>
      </c>
      <c r="H159" s="72">
        <v>5.8007096980000004</v>
      </c>
      <c r="I159" s="77">
        <f t="shared" si="4"/>
        <v>3324555.36</v>
      </c>
      <c r="J159" s="8"/>
      <c r="K159" s="8"/>
    </row>
    <row r="160" spans="1:11">
      <c r="A160" s="72" t="s">
        <v>207</v>
      </c>
      <c r="B160" s="72" t="s">
        <v>208</v>
      </c>
      <c r="C160" s="72">
        <v>3.65</v>
      </c>
      <c r="D160" s="76">
        <v>58333</v>
      </c>
      <c r="E160" s="72" t="s">
        <v>209</v>
      </c>
      <c r="F160" s="72">
        <v>67.921000000000006</v>
      </c>
      <c r="G160" s="73">
        <v>4090000</v>
      </c>
      <c r="H160" s="72">
        <v>5.832675214</v>
      </c>
      <c r="I160" s="77">
        <f t="shared" si="4"/>
        <v>2777968.9000000004</v>
      </c>
      <c r="J160" s="8"/>
      <c r="K160" s="8"/>
    </row>
    <row r="161" spans="1:11">
      <c r="A161" s="72" t="s">
        <v>207</v>
      </c>
      <c r="B161" s="72" t="s">
        <v>208</v>
      </c>
      <c r="C161" s="72">
        <v>1.8</v>
      </c>
      <c r="D161" s="76">
        <v>46270</v>
      </c>
      <c r="E161" s="72" t="s">
        <v>209</v>
      </c>
      <c r="F161" s="72">
        <v>99.632999999999996</v>
      </c>
      <c r="G161" s="73">
        <v>22543000</v>
      </c>
      <c r="H161" s="72">
        <v>2.2544649159999999</v>
      </c>
      <c r="I161" s="77">
        <f t="shared" si="4"/>
        <v>22460267.189999998</v>
      </c>
      <c r="J161" s="8"/>
      <c r="K161" s="8"/>
    </row>
    <row r="162" spans="1:11">
      <c r="A162" s="72" t="s">
        <v>207</v>
      </c>
      <c r="B162" s="72" t="s">
        <v>208</v>
      </c>
      <c r="C162" s="72">
        <v>2.35</v>
      </c>
      <c r="D162" s="76">
        <v>47366</v>
      </c>
      <c r="E162" s="72" t="s">
        <v>209</v>
      </c>
      <c r="F162" s="72">
        <v>97.872</v>
      </c>
      <c r="G162" s="73">
        <v>14913000</v>
      </c>
      <c r="H162" s="72">
        <v>2.9474004119999999</v>
      </c>
      <c r="I162" s="77">
        <f t="shared" si="4"/>
        <v>14595651.360000001</v>
      </c>
      <c r="J162" s="8"/>
      <c r="K162" s="8"/>
    </row>
    <row r="163" spans="1:11">
      <c r="A163" s="72" t="s">
        <v>207</v>
      </c>
      <c r="B163" s="72" t="s">
        <v>208</v>
      </c>
      <c r="C163" s="72">
        <v>6.875</v>
      </c>
      <c r="D163" s="76">
        <v>46675</v>
      </c>
      <c r="E163" s="72" t="s">
        <v>209</v>
      </c>
      <c r="F163" s="72">
        <v>104.438</v>
      </c>
      <c r="G163" s="73">
        <v>11000000</v>
      </c>
      <c r="H163" s="72">
        <v>4.4381134250000001</v>
      </c>
      <c r="I163" s="77">
        <f t="shared" ref="I163:I190" si="5">G163*($F163/100)</f>
        <v>11488180.000000002</v>
      </c>
      <c r="J163" s="8"/>
      <c r="K163" s="8"/>
    </row>
    <row r="164" spans="1:11">
      <c r="A164" s="72" t="s">
        <v>216</v>
      </c>
      <c r="B164" s="72" t="s">
        <v>208</v>
      </c>
      <c r="C164" s="72">
        <v>8.75</v>
      </c>
      <c r="D164" s="76">
        <v>47908</v>
      </c>
      <c r="E164" s="72" t="s">
        <v>217</v>
      </c>
      <c r="F164" s="72">
        <v>119.84099999999999</v>
      </c>
      <c r="G164" s="73">
        <v>1000</v>
      </c>
      <c r="H164" s="72">
        <v>4.4982101830000003</v>
      </c>
      <c r="I164" s="77">
        <f t="shared" si="5"/>
        <v>1198.4100000000001</v>
      </c>
      <c r="J164" s="8"/>
      <c r="K164" s="8"/>
    </row>
    <row r="165" spans="1:11">
      <c r="A165" s="72" t="s">
        <v>207</v>
      </c>
      <c r="B165" s="72" t="s">
        <v>208</v>
      </c>
      <c r="C165" s="72">
        <v>3.65</v>
      </c>
      <c r="D165" s="76">
        <v>58333</v>
      </c>
      <c r="E165" s="72" t="s">
        <v>209</v>
      </c>
      <c r="F165" s="72">
        <v>67.921000000000006</v>
      </c>
      <c r="G165" s="73">
        <v>4090000</v>
      </c>
      <c r="H165" s="72">
        <v>5.832675214</v>
      </c>
      <c r="I165" s="77">
        <f t="shared" si="5"/>
        <v>2777968.9000000004</v>
      </c>
      <c r="J165" s="8"/>
      <c r="K165" s="8"/>
    </row>
    <row r="166" spans="1:11">
      <c r="A166" s="72" t="s">
        <v>207</v>
      </c>
      <c r="B166" s="72" t="s">
        <v>208</v>
      </c>
      <c r="C166" s="72">
        <v>6.375</v>
      </c>
      <c r="D166" s="76">
        <v>46905</v>
      </c>
      <c r="E166" s="72" t="s">
        <v>209</v>
      </c>
      <c r="F166" s="72">
        <v>105.279</v>
      </c>
      <c r="G166" s="73">
        <v>315000</v>
      </c>
      <c r="H166" s="72">
        <v>4.1700580440000001</v>
      </c>
      <c r="I166" s="77">
        <f t="shared" si="5"/>
        <v>331628.84999999998</v>
      </c>
      <c r="J166" s="8"/>
      <c r="K166" s="8"/>
    </row>
    <row r="167" spans="1:11">
      <c r="A167" s="72" t="s">
        <v>207</v>
      </c>
      <c r="B167" s="72" t="s">
        <v>208</v>
      </c>
      <c r="C167" s="72">
        <v>6</v>
      </c>
      <c r="D167" s="76">
        <v>49263</v>
      </c>
      <c r="E167" s="72" t="s">
        <v>209</v>
      </c>
      <c r="F167" s="72">
        <v>104.559</v>
      </c>
      <c r="G167" s="73">
        <v>687000</v>
      </c>
      <c r="H167" s="72">
        <v>5.3552283699999998</v>
      </c>
      <c r="I167" s="77">
        <f t="shared" si="5"/>
        <v>718320.33</v>
      </c>
      <c r="J167" s="8"/>
      <c r="K167" s="8"/>
    </row>
    <row r="168" spans="1:11">
      <c r="A168" s="72" t="s">
        <v>207</v>
      </c>
      <c r="B168" s="72" t="s">
        <v>208</v>
      </c>
      <c r="C168" s="72">
        <v>4.3</v>
      </c>
      <c r="D168" s="76">
        <v>47529</v>
      </c>
      <c r="E168" s="72" t="s">
        <v>209</v>
      </c>
      <c r="F168" s="72">
        <v>100.151</v>
      </c>
      <c r="G168" s="73">
        <v>12246000</v>
      </c>
      <c r="H168" s="72">
        <v>4.2593602519999996</v>
      </c>
      <c r="I168" s="77">
        <f t="shared" si="5"/>
        <v>12264491.459999999</v>
      </c>
      <c r="J168" s="8"/>
      <c r="K168" s="8"/>
    </row>
    <row r="169" spans="1:11">
      <c r="A169" s="72" t="s">
        <v>207</v>
      </c>
      <c r="B169" s="72" t="s">
        <v>208</v>
      </c>
      <c r="C169" s="72">
        <v>5.15</v>
      </c>
      <c r="D169" s="76">
        <v>53646</v>
      </c>
      <c r="E169" s="72" t="s">
        <v>209</v>
      </c>
      <c r="F169" s="72">
        <v>93.442999999999998</v>
      </c>
      <c r="G169" s="73">
        <v>663000</v>
      </c>
      <c r="H169" s="72">
        <v>5.6888574399999996</v>
      </c>
      <c r="I169" s="77">
        <f t="shared" si="5"/>
        <v>619527.09</v>
      </c>
      <c r="J169" s="8"/>
      <c r="K169" s="8"/>
    </row>
    <row r="170" spans="1:11">
      <c r="A170" s="72" t="s">
        <v>207</v>
      </c>
      <c r="B170" s="72" t="s">
        <v>208</v>
      </c>
      <c r="C170" s="72">
        <v>7.3</v>
      </c>
      <c r="D170" s="76">
        <v>46249</v>
      </c>
      <c r="E170" s="72" t="s">
        <v>209</v>
      </c>
      <c r="F170" s="72">
        <v>101.982</v>
      </c>
      <c r="G170" s="73">
        <v>21270000</v>
      </c>
      <c r="H170" s="72">
        <v>4.5869997939999996</v>
      </c>
      <c r="I170" s="77">
        <f t="shared" si="5"/>
        <v>21691571.399999999</v>
      </c>
      <c r="J170" s="8"/>
      <c r="K170" s="8"/>
    </row>
    <row r="171" spans="1:11">
      <c r="A171" s="72" t="s">
        <v>207</v>
      </c>
      <c r="B171" s="72" t="s">
        <v>208</v>
      </c>
      <c r="C171" s="72">
        <v>6.5</v>
      </c>
      <c r="D171" s="76">
        <v>47192</v>
      </c>
      <c r="E171" s="72" t="s">
        <v>209</v>
      </c>
      <c r="F171" s="72">
        <v>104.497</v>
      </c>
      <c r="G171" s="73">
        <v>6570000</v>
      </c>
      <c r="H171" s="72">
        <v>5.0175026100000002</v>
      </c>
      <c r="I171" s="77">
        <f t="shared" si="5"/>
        <v>6865452.8999999994</v>
      </c>
      <c r="J171" s="8"/>
      <c r="K171" s="8"/>
    </row>
    <row r="172" spans="1:11">
      <c r="A172" s="72" t="s">
        <v>207</v>
      </c>
      <c r="B172" s="72" t="s">
        <v>208</v>
      </c>
      <c r="C172" s="72">
        <v>5.95</v>
      </c>
      <c r="D172" s="76">
        <v>50420</v>
      </c>
      <c r="E172" s="72" t="s">
        <v>209</v>
      </c>
      <c r="F172" s="72">
        <v>99.081999999999994</v>
      </c>
      <c r="G172" s="73">
        <v>8040000</v>
      </c>
      <c r="H172" s="72">
        <v>6.0565117380000002</v>
      </c>
      <c r="I172" s="77">
        <f t="shared" si="5"/>
        <v>7966192.7999999998</v>
      </c>
      <c r="J172" s="8"/>
      <c r="K172" s="8"/>
    </row>
    <row r="173" spans="1:11">
      <c r="A173" s="72" t="s">
        <v>207</v>
      </c>
      <c r="B173" s="72" t="s">
        <v>208</v>
      </c>
      <c r="C173" s="72">
        <v>6.65</v>
      </c>
      <c r="D173" s="76">
        <v>71573</v>
      </c>
      <c r="E173" s="72" t="s">
        <v>209</v>
      </c>
      <c r="F173" s="72">
        <v>93.046000000000006</v>
      </c>
      <c r="G173" s="73">
        <v>32050000</v>
      </c>
      <c r="H173" s="72">
        <v>7.1502526399999997</v>
      </c>
      <c r="I173" s="77">
        <f t="shared" si="5"/>
        <v>29821243.000000004</v>
      </c>
      <c r="J173" s="8"/>
      <c r="K173" s="8"/>
    </row>
    <row r="174" spans="1:11">
      <c r="A174" s="72" t="s">
        <v>210</v>
      </c>
      <c r="B174" s="72" t="s">
        <v>208</v>
      </c>
      <c r="C174" s="72">
        <v>6.04</v>
      </c>
      <c r="D174" s="76">
        <v>46341</v>
      </c>
      <c r="E174" s="72" t="s">
        <v>209</v>
      </c>
      <c r="F174" s="72">
        <v>100.953</v>
      </c>
      <c r="G174" s="73">
        <v>2126000</v>
      </c>
      <c r="H174" s="72">
        <v>5.0556156229999996</v>
      </c>
      <c r="I174" s="77">
        <f t="shared" si="5"/>
        <v>2146260.7800000003</v>
      </c>
      <c r="J174" s="8"/>
      <c r="K174" s="8"/>
    </row>
    <row r="175" spans="1:11">
      <c r="A175" s="72" t="s">
        <v>211</v>
      </c>
      <c r="B175" s="72" t="s">
        <v>208</v>
      </c>
      <c r="C175" s="72">
        <v>5.95</v>
      </c>
      <c r="D175" s="76">
        <v>50420</v>
      </c>
      <c r="E175" s="72" t="s">
        <v>209</v>
      </c>
      <c r="F175" s="72">
        <v>98.721000000000004</v>
      </c>
      <c r="G175" s="73">
        <v>3212000</v>
      </c>
      <c r="H175" s="72">
        <v>6.0991978529999997</v>
      </c>
      <c r="I175" s="77">
        <f t="shared" si="5"/>
        <v>3170918.52</v>
      </c>
      <c r="J175" s="8"/>
      <c r="K175" s="8"/>
    </row>
    <row r="176" spans="1:11">
      <c r="A176" s="72" t="s">
        <v>219</v>
      </c>
      <c r="B176" s="72" t="s">
        <v>208</v>
      </c>
      <c r="C176" s="72">
        <v>7.3</v>
      </c>
      <c r="D176" s="76">
        <v>46249</v>
      </c>
      <c r="E176" s="72" t="s">
        <v>220</v>
      </c>
      <c r="F176" s="72">
        <v>101.895</v>
      </c>
      <c r="G176" s="73">
        <v>1000000</v>
      </c>
      <c r="H176" s="72">
        <v>4.7032682479999997</v>
      </c>
      <c r="I176" s="77">
        <f t="shared" si="5"/>
        <v>1018950</v>
      </c>
      <c r="J176" s="8"/>
      <c r="K176" s="8"/>
    </row>
    <row r="177" spans="1:11">
      <c r="A177" s="72" t="s">
        <v>216</v>
      </c>
      <c r="B177" s="72" t="s">
        <v>208</v>
      </c>
      <c r="C177" s="72">
        <v>8.75</v>
      </c>
      <c r="D177" s="76">
        <v>47908</v>
      </c>
      <c r="E177" s="72" t="s">
        <v>217</v>
      </c>
      <c r="F177" s="72">
        <v>119.84099999999999</v>
      </c>
      <c r="G177" s="73">
        <v>1000</v>
      </c>
      <c r="H177" s="72">
        <v>4.4982101830000003</v>
      </c>
      <c r="I177" s="77">
        <f t="shared" si="5"/>
        <v>1198.4100000000001</v>
      </c>
      <c r="J177" s="8"/>
      <c r="K177" s="8"/>
    </row>
    <row r="178" spans="1:11">
      <c r="A178" s="72" t="s">
        <v>207</v>
      </c>
      <c r="B178" s="72" t="s">
        <v>208</v>
      </c>
      <c r="C178" s="72">
        <v>5.35</v>
      </c>
      <c r="D178" s="76">
        <v>51380</v>
      </c>
      <c r="E178" s="72" t="s">
        <v>209</v>
      </c>
      <c r="F178" s="72">
        <v>99.152000000000001</v>
      </c>
      <c r="G178" s="73">
        <v>62000</v>
      </c>
      <c r="H178" s="72">
        <v>5.4332711619999996</v>
      </c>
      <c r="I178" s="77">
        <f t="shared" si="5"/>
        <v>61474.239999999998</v>
      </c>
      <c r="J178" s="8"/>
      <c r="K178" s="8"/>
    </row>
    <row r="179" spans="1:11">
      <c r="A179" s="72" t="s">
        <v>207</v>
      </c>
      <c r="B179" s="72" t="s">
        <v>208</v>
      </c>
      <c r="C179" s="72">
        <v>4.5</v>
      </c>
      <c r="D179" s="76">
        <v>54126</v>
      </c>
      <c r="E179" s="72" t="s">
        <v>209</v>
      </c>
      <c r="F179" s="72">
        <v>84.17</v>
      </c>
      <c r="G179" s="73">
        <v>1801000</v>
      </c>
      <c r="H179" s="72">
        <v>5.7695446629999996</v>
      </c>
      <c r="I179" s="77">
        <f t="shared" si="5"/>
        <v>1515901.7</v>
      </c>
      <c r="J179" s="8"/>
      <c r="K179" s="8"/>
    </row>
    <row r="180" spans="1:11">
      <c r="A180" s="72" t="s">
        <v>207</v>
      </c>
      <c r="B180" s="72" t="s">
        <v>208</v>
      </c>
      <c r="C180" s="72">
        <v>4.55</v>
      </c>
      <c r="D180" s="76">
        <v>54491</v>
      </c>
      <c r="E180" s="72" t="s">
        <v>209</v>
      </c>
      <c r="F180" s="72">
        <v>84.566000000000003</v>
      </c>
      <c r="G180" s="73">
        <v>650000</v>
      </c>
      <c r="H180" s="72">
        <v>5.7606035840000001</v>
      </c>
      <c r="I180" s="77">
        <f t="shared" si="5"/>
        <v>549679</v>
      </c>
      <c r="J180" s="8"/>
      <c r="K180" s="8"/>
    </row>
    <row r="181" spans="1:11">
      <c r="A181" s="72" t="s">
        <v>213</v>
      </c>
      <c r="B181" s="72" t="s">
        <v>214</v>
      </c>
      <c r="C181" s="72">
        <v>6.0880000000000001</v>
      </c>
      <c r="D181" s="76">
        <v>52946</v>
      </c>
      <c r="E181" s="72" t="s">
        <v>215</v>
      </c>
      <c r="F181" s="72">
        <v>102.892</v>
      </c>
      <c r="G181" s="73">
        <v>979416306.60000002</v>
      </c>
      <c r="H181" s="72">
        <v>5.836330555</v>
      </c>
      <c r="I181" s="77">
        <f t="shared" si="5"/>
        <v>1007741026.1868721</v>
      </c>
      <c r="J181" s="8"/>
      <c r="K181" s="8"/>
    </row>
    <row r="182" spans="1:11">
      <c r="A182" s="72" t="s">
        <v>207</v>
      </c>
      <c r="B182" s="72" t="s">
        <v>208</v>
      </c>
      <c r="C182" s="72">
        <v>6</v>
      </c>
      <c r="D182" s="76">
        <v>49263</v>
      </c>
      <c r="E182" s="72" t="s">
        <v>209</v>
      </c>
      <c r="F182" s="72">
        <v>104.559</v>
      </c>
      <c r="G182" s="73">
        <v>687000</v>
      </c>
      <c r="H182" s="72">
        <v>5.3552283699999998</v>
      </c>
      <c r="I182" s="77">
        <f t="shared" si="5"/>
        <v>718320.33</v>
      </c>
      <c r="J182" s="8"/>
      <c r="K182" s="8"/>
    </row>
    <row r="183" spans="1:11">
      <c r="A183" s="72" t="s">
        <v>207</v>
      </c>
      <c r="B183" s="72" t="s">
        <v>208</v>
      </c>
      <c r="C183" s="72">
        <v>6.5</v>
      </c>
      <c r="D183" s="76">
        <v>47192</v>
      </c>
      <c r="E183" s="72" t="s">
        <v>209</v>
      </c>
      <c r="F183" s="72">
        <v>104.497</v>
      </c>
      <c r="G183" s="73">
        <v>250000</v>
      </c>
      <c r="H183" s="72">
        <v>5.0175026100000002</v>
      </c>
      <c r="I183" s="77">
        <f t="shared" si="5"/>
        <v>261242.5</v>
      </c>
      <c r="J183" s="8"/>
      <c r="K183" s="8"/>
    </row>
    <row r="184" spans="1:11">
      <c r="A184" s="72" t="s">
        <v>207</v>
      </c>
      <c r="B184" s="72" t="s">
        <v>208</v>
      </c>
      <c r="C184" s="72">
        <v>6.5</v>
      </c>
      <c r="D184" s="76">
        <v>47192</v>
      </c>
      <c r="E184" s="72" t="s">
        <v>209</v>
      </c>
      <c r="F184" s="72">
        <v>104.497</v>
      </c>
      <c r="G184" s="73">
        <v>250000</v>
      </c>
      <c r="H184" s="72">
        <v>5.0175026100000002</v>
      </c>
      <c r="I184" s="77">
        <f t="shared" si="5"/>
        <v>261242.5</v>
      </c>
      <c r="J184" s="8"/>
      <c r="K184" s="8"/>
    </row>
    <row r="185" spans="1:11">
      <c r="A185" s="72" t="s">
        <v>207</v>
      </c>
      <c r="B185" s="72" t="s">
        <v>208</v>
      </c>
      <c r="C185" s="72">
        <v>6.375</v>
      </c>
      <c r="D185" s="76">
        <v>46905</v>
      </c>
      <c r="E185" s="72" t="s">
        <v>209</v>
      </c>
      <c r="F185" s="72">
        <v>105.279</v>
      </c>
      <c r="G185" s="73">
        <v>315000</v>
      </c>
      <c r="H185" s="72">
        <v>4.1700580440000001</v>
      </c>
      <c r="I185" s="77">
        <f t="shared" si="5"/>
        <v>331628.84999999998</v>
      </c>
      <c r="J185" s="8"/>
      <c r="K185" s="8"/>
    </row>
    <row r="186" spans="1:11">
      <c r="A186" s="72" t="s">
        <v>207</v>
      </c>
      <c r="B186" s="72" t="s">
        <v>208</v>
      </c>
      <c r="C186" s="72">
        <v>5.15</v>
      </c>
      <c r="D186" s="76">
        <v>53646</v>
      </c>
      <c r="E186" s="72" t="s">
        <v>209</v>
      </c>
      <c r="F186" s="72">
        <v>93.442999999999998</v>
      </c>
      <c r="G186" s="73">
        <v>663000</v>
      </c>
      <c r="H186" s="72">
        <v>5.6888574399999996</v>
      </c>
      <c r="I186" s="77">
        <f t="shared" si="5"/>
        <v>619527.09</v>
      </c>
      <c r="J186" s="8"/>
      <c r="K186" s="8"/>
    </row>
    <row r="187" spans="1:11">
      <c r="A187" s="72" t="s">
        <v>207</v>
      </c>
      <c r="B187" s="72" t="s">
        <v>208</v>
      </c>
      <c r="C187" s="72">
        <v>5.3</v>
      </c>
      <c r="D187" s="76">
        <v>57937</v>
      </c>
      <c r="E187" s="72" t="s">
        <v>209</v>
      </c>
      <c r="F187" s="72">
        <v>82.296999999999997</v>
      </c>
      <c r="G187" s="73">
        <v>38000</v>
      </c>
      <c r="H187" s="72">
        <v>6.6300326180000004</v>
      </c>
      <c r="I187" s="77">
        <f t="shared" si="5"/>
        <v>31272.86</v>
      </c>
      <c r="J187" s="8"/>
      <c r="K187" s="8"/>
    </row>
    <row r="188" spans="1:11">
      <c r="A188" s="72" t="s">
        <v>207</v>
      </c>
      <c r="B188" s="72" t="s">
        <v>208</v>
      </c>
      <c r="C188" s="72">
        <v>3.8</v>
      </c>
      <c r="D188" s="76">
        <v>57680</v>
      </c>
      <c r="E188" s="72" t="s">
        <v>209</v>
      </c>
      <c r="F188" s="72">
        <v>70.781999999999996</v>
      </c>
      <c r="G188" s="73">
        <v>169000</v>
      </c>
      <c r="H188" s="72">
        <v>5.8224310160000003</v>
      </c>
      <c r="I188" s="77">
        <f t="shared" si="5"/>
        <v>119621.58</v>
      </c>
      <c r="J188" s="8"/>
      <c r="K188" s="8"/>
    </row>
    <row r="189" spans="1:11">
      <c r="A189" s="72" t="s">
        <v>207</v>
      </c>
      <c r="B189" s="72" t="s">
        <v>208</v>
      </c>
      <c r="C189" s="72">
        <v>4.5</v>
      </c>
      <c r="D189" s="76">
        <v>54126</v>
      </c>
      <c r="E189" s="72" t="s">
        <v>209</v>
      </c>
      <c r="F189" s="72">
        <v>84.17</v>
      </c>
      <c r="G189" s="73">
        <v>1801000</v>
      </c>
      <c r="H189" s="72">
        <v>5.7695446629999996</v>
      </c>
      <c r="I189" s="77">
        <f t="shared" si="5"/>
        <v>1515901.7</v>
      </c>
      <c r="J189" s="8"/>
      <c r="K189" s="8"/>
    </row>
    <row r="190" spans="1:11">
      <c r="A190" s="72" t="s">
        <v>207</v>
      </c>
      <c r="B190" s="72" t="s">
        <v>208</v>
      </c>
      <c r="C190" s="72">
        <v>4.55</v>
      </c>
      <c r="D190" s="76">
        <v>54491</v>
      </c>
      <c r="E190" s="72" t="s">
        <v>209</v>
      </c>
      <c r="F190" s="72">
        <v>84.566000000000003</v>
      </c>
      <c r="G190" s="73">
        <v>650000</v>
      </c>
      <c r="H190" s="72">
        <v>5.7606035840000001</v>
      </c>
      <c r="I190" s="77">
        <f t="shared" si="5"/>
        <v>549679</v>
      </c>
      <c r="J190" s="8"/>
      <c r="K190" s="8"/>
    </row>
    <row r="191" spans="1:11">
      <c r="A191" s="78"/>
      <c r="B191" s="78"/>
      <c r="C191" s="78"/>
      <c r="D191" s="78"/>
      <c r="E191" s="78"/>
      <c r="F191" s="78"/>
      <c r="G191" s="77">
        <f>SUM(G3:G190)</f>
        <v>174018957613.20001</v>
      </c>
      <c r="H191" s="78"/>
      <c r="I191" s="77">
        <f>SUM(I3:I190)</f>
        <v>154738902738.85358</v>
      </c>
      <c r="J191" s="8"/>
      <c r="K191" s="8"/>
    </row>
    <row r="192" spans="1:11">
      <c r="A192" s="79"/>
      <c r="B192" s="131" t="s">
        <v>221</v>
      </c>
      <c r="C192" s="131"/>
      <c r="D192" s="132" t="s">
        <v>222</v>
      </c>
      <c r="E192" s="132"/>
      <c r="F192" s="132"/>
      <c r="G192" s="80"/>
      <c r="H192" s="8"/>
      <c r="I192" s="80"/>
      <c r="J192" s="8"/>
      <c r="K192" s="8"/>
    </row>
    <row r="193" spans="1:11">
      <c r="A193" s="72" t="s">
        <v>223</v>
      </c>
      <c r="B193" s="74" t="s">
        <v>155</v>
      </c>
      <c r="C193" s="81" t="s">
        <v>224</v>
      </c>
      <c r="D193" s="81" t="s">
        <v>225</v>
      </c>
      <c r="E193" s="81" t="s">
        <v>226</v>
      </c>
      <c r="F193" s="81" t="s">
        <v>224</v>
      </c>
      <c r="G193" s="80"/>
      <c r="H193" s="8"/>
      <c r="I193" s="80"/>
      <c r="J193" s="8"/>
      <c r="K193" s="8"/>
    </row>
    <row r="194" spans="1:11">
      <c r="A194" s="78"/>
      <c r="B194" s="82">
        <f t="shared" ref="B194:B225" si="6">G3/$G$191</f>
        <v>7.1831254315316197E-3</v>
      </c>
      <c r="C194" s="83">
        <f t="shared" ref="C194:C225" si="7">B194*(H3/100)</f>
        <v>3.6033763187387079E-4</v>
      </c>
      <c r="D194" s="82">
        <f t="shared" ref="D194:D225" si="8">I3/$I$191</f>
        <v>8.0039665402707894E-3</v>
      </c>
      <c r="E194" s="82">
        <f t="shared" ref="E194:E225" si="9">D194*(F3/100)</f>
        <v>7.9304901274311022E-3</v>
      </c>
      <c r="F194" s="82">
        <f t="shared" ref="F194:F225" si="10">D194*(H3/100)</f>
        <v>4.0151468552372297E-4</v>
      </c>
      <c r="G194" s="80"/>
      <c r="H194" s="8"/>
      <c r="I194" s="80"/>
      <c r="J194" s="8"/>
      <c r="K194" s="8"/>
    </row>
    <row r="195" spans="1:11">
      <c r="A195" s="78"/>
      <c r="B195" s="82">
        <f t="shared" si="6"/>
        <v>8.6197505178379433E-3</v>
      </c>
      <c r="C195" s="83">
        <f t="shared" si="7"/>
        <v>5.0426403202603551E-4</v>
      </c>
      <c r="D195" s="82">
        <f t="shared" si="8"/>
        <v>9.4900828040528455E-3</v>
      </c>
      <c r="E195" s="82">
        <f t="shared" si="9"/>
        <v>9.2906961643396957E-3</v>
      </c>
      <c r="F195" s="82">
        <f t="shared" si="10"/>
        <v>5.5517934180686259E-4</v>
      </c>
      <c r="G195" s="80"/>
      <c r="H195" s="8"/>
      <c r="I195" s="80"/>
      <c r="J195" s="8"/>
      <c r="K195" s="8"/>
    </row>
    <row r="196" spans="1:11">
      <c r="A196" s="78"/>
      <c r="B196" s="82">
        <f t="shared" si="6"/>
        <v>7.1831254315316197E-3</v>
      </c>
      <c r="C196" s="83">
        <f t="shared" si="7"/>
        <v>4.2041511635253307E-4</v>
      </c>
      <c r="D196" s="82">
        <f t="shared" si="8"/>
        <v>8.3018069616791011E-3</v>
      </c>
      <c r="E196" s="82">
        <f t="shared" si="9"/>
        <v>8.5316839964479953E-3</v>
      </c>
      <c r="F196" s="82">
        <f t="shared" si="10"/>
        <v>4.8588948821772003E-4</v>
      </c>
      <c r="G196" s="80"/>
      <c r="H196" s="8"/>
      <c r="I196" s="80"/>
      <c r="J196" s="8"/>
      <c r="K196" s="8"/>
    </row>
    <row r="197" spans="1:11">
      <c r="A197" s="78"/>
      <c r="B197" s="82">
        <f t="shared" si="6"/>
        <v>6.3211503797478254E-3</v>
      </c>
      <c r="C197" s="83">
        <f t="shared" si="7"/>
        <v>3.5999745949660849E-4</v>
      </c>
      <c r="D197" s="82">
        <f t="shared" si="8"/>
        <v>6.9854120771698589E-3</v>
      </c>
      <c r="E197" s="82">
        <f t="shared" si="9"/>
        <v>6.8642151776309619E-3</v>
      </c>
      <c r="F197" s="82">
        <f t="shared" si="10"/>
        <v>3.9782799810853388E-4</v>
      </c>
      <c r="G197" s="80"/>
      <c r="H197" s="130" t="s">
        <v>227</v>
      </c>
      <c r="I197" s="130"/>
      <c r="J197" s="8"/>
      <c r="K197" s="8"/>
    </row>
    <row r="198" spans="1:11">
      <c r="A198" s="78"/>
      <c r="B198" s="82">
        <f t="shared" si="6"/>
        <v>1.5802875949369563E-2</v>
      </c>
      <c r="C198" s="83">
        <f t="shared" si="7"/>
        <v>7.6355417501605043E-4</v>
      </c>
      <c r="D198" s="82">
        <f t="shared" si="8"/>
        <v>1.8451290848420249E-2</v>
      </c>
      <c r="E198" s="82">
        <f t="shared" si="9"/>
        <v>1.9156683697555354E-2</v>
      </c>
      <c r="F198" s="82">
        <f t="shared" si="10"/>
        <v>8.9151874677018974E-4</v>
      </c>
      <c r="G198" s="80"/>
      <c r="H198" s="78" t="s">
        <v>228</v>
      </c>
      <c r="I198" s="77">
        <f>'[1]Income Statements '!B22</f>
        <v>16698</v>
      </c>
      <c r="J198" s="8"/>
      <c r="K198" s="8"/>
    </row>
    <row r="199" spans="1:11">
      <c r="A199" s="78"/>
      <c r="B199" s="82">
        <f t="shared" si="6"/>
        <v>1.5802875949369563E-2</v>
      </c>
      <c r="C199" s="83">
        <f t="shared" si="7"/>
        <v>7.6355417501605043E-4</v>
      </c>
      <c r="D199" s="82">
        <f t="shared" si="8"/>
        <v>1.8451290848420249E-2</v>
      </c>
      <c r="E199" s="82">
        <f t="shared" si="9"/>
        <v>1.9156683697555354E-2</v>
      </c>
      <c r="F199" s="82">
        <f t="shared" si="10"/>
        <v>8.9151874677018974E-4</v>
      </c>
      <c r="G199" s="80"/>
      <c r="H199" s="78" t="s">
        <v>229</v>
      </c>
      <c r="I199" s="77">
        <f>'[1]Income Statements '!B23</f>
        <v>4445</v>
      </c>
      <c r="J199" s="8"/>
      <c r="K199" s="8"/>
    </row>
    <row r="200" spans="1:11">
      <c r="A200" s="78"/>
      <c r="B200" s="82">
        <f t="shared" si="6"/>
        <v>1.5802875949369563E-2</v>
      </c>
      <c r="C200" s="83">
        <f t="shared" si="7"/>
        <v>7.6355417501605043E-4</v>
      </c>
      <c r="D200" s="82">
        <f t="shared" si="8"/>
        <v>1.8451290848420249E-2</v>
      </c>
      <c r="E200" s="82">
        <f t="shared" si="9"/>
        <v>1.9156683697555354E-2</v>
      </c>
      <c r="F200" s="82">
        <f t="shared" si="10"/>
        <v>8.9151874677018974E-4</v>
      </c>
      <c r="G200" s="80"/>
      <c r="H200" s="78" t="s">
        <v>230</v>
      </c>
      <c r="I200" s="84">
        <f>I199/I198</f>
        <v>0.26619954485567132</v>
      </c>
      <c r="J200" s="8"/>
      <c r="K200" s="8"/>
    </row>
    <row r="201" spans="1:11">
      <c r="A201" s="78"/>
      <c r="B201" s="82">
        <f t="shared" si="6"/>
        <v>1.7239501035675887E-2</v>
      </c>
      <c r="C201" s="83">
        <f t="shared" si="7"/>
        <v>7.2745828555863929E-4</v>
      </c>
      <c r="D201" s="82">
        <f t="shared" si="8"/>
        <v>1.9463495906280416E-2</v>
      </c>
      <c r="E201" s="82">
        <f t="shared" si="9"/>
        <v>1.9539792810233034E-2</v>
      </c>
      <c r="F201" s="82">
        <f t="shared" si="10"/>
        <v>8.2130459191710812E-4</v>
      </c>
      <c r="G201" s="80"/>
      <c r="H201" s="81" t="s">
        <v>231</v>
      </c>
      <c r="I201" s="85">
        <f>F382*(1-I200)</f>
        <v>3.4989847380269223E-2</v>
      </c>
      <c r="J201" s="8"/>
      <c r="K201" s="8"/>
    </row>
    <row r="202" spans="1:11">
      <c r="A202" s="78"/>
      <c r="B202" s="82">
        <f t="shared" si="6"/>
        <v>1.7239501035675887E-2</v>
      </c>
      <c r="C202" s="83">
        <f t="shared" si="7"/>
        <v>7.2745828555863929E-4</v>
      </c>
      <c r="D202" s="82">
        <f t="shared" si="8"/>
        <v>1.9463495906280416E-2</v>
      </c>
      <c r="E202" s="82">
        <f t="shared" si="9"/>
        <v>1.9539792810233034E-2</v>
      </c>
      <c r="F202" s="82">
        <f t="shared" si="10"/>
        <v>8.2130459191710812E-4</v>
      </c>
      <c r="G202" s="80"/>
      <c r="H202" s="8"/>
      <c r="I202" s="8"/>
      <c r="J202" s="8"/>
      <c r="K202" s="8"/>
    </row>
    <row r="203" spans="1:11">
      <c r="A203" s="78"/>
      <c r="B203" s="82">
        <f t="shared" si="6"/>
        <v>1.7239501035675887E-2</v>
      </c>
      <c r="C203" s="83">
        <f t="shared" si="7"/>
        <v>7.2745828555863929E-4</v>
      </c>
      <c r="D203" s="82">
        <f t="shared" si="8"/>
        <v>1.9463495906280416E-2</v>
      </c>
      <c r="E203" s="82">
        <f t="shared" si="9"/>
        <v>1.9539792810233034E-2</v>
      </c>
      <c r="F203" s="82">
        <f t="shared" si="10"/>
        <v>8.2130459191710812E-4</v>
      </c>
      <c r="G203" s="80"/>
      <c r="H203" s="130" t="s">
        <v>166</v>
      </c>
      <c r="I203" s="130"/>
      <c r="J203" s="8"/>
      <c r="K203" s="8"/>
    </row>
    <row r="204" spans="1:11">
      <c r="A204" s="78"/>
      <c r="B204" s="82">
        <f t="shared" si="6"/>
        <v>6.6084753970090905E-3</v>
      </c>
      <c r="C204" s="83">
        <f t="shared" si="7"/>
        <v>3.0296377154313483E-4</v>
      </c>
      <c r="D204" s="82">
        <f t="shared" si="8"/>
        <v>7.4158952899946208E-3</v>
      </c>
      <c r="E204" s="82">
        <f t="shared" si="9"/>
        <v>7.3999511151211323E-3</v>
      </c>
      <c r="F204" s="82">
        <f t="shared" si="10"/>
        <v>3.3997971868709515E-4</v>
      </c>
      <c r="G204" s="80"/>
      <c r="H204" s="78" t="s">
        <v>232</v>
      </c>
      <c r="I204" s="86">
        <f>'[1]Cost of Equity '!B4</f>
        <v>4.0809999999999999E-2</v>
      </c>
      <c r="J204" s="8"/>
      <c r="K204" s="8"/>
    </row>
    <row r="205" spans="1:11">
      <c r="A205" s="78"/>
      <c r="B205" s="82">
        <f t="shared" si="6"/>
        <v>1.1009145361382622E-3</v>
      </c>
      <c r="C205" s="83">
        <f t="shared" si="7"/>
        <v>5.8824749889470159E-5</v>
      </c>
      <c r="D205" s="82">
        <f t="shared" si="8"/>
        <v>1.2956070080084718E-3</v>
      </c>
      <c r="E205" s="82">
        <f t="shared" si="9"/>
        <v>1.3558009096005454E-3</v>
      </c>
      <c r="F205" s="82">
        <f t="shared" si="10"/>
        <v>6.9227679078961255E-5</v>
      </c>
      <c r="G205" s="80"/>
      <c r="H205" s="78" t="s">
        <v>134</v>
      </c>
      <c r="I205" s="86">
        <f>'[1]Cost of Equity '!D4</f>
        <v>4.9149999999999999E-2</v>
      </c>
      <c r="J205" s="8"/>
      <c r="K205" s="8"/>
    </row>
    <row r="206" spans="1:11">
      <c r="A206" s="78"/>
      <c r="B206" s="82">
        <f t="shared" si="6"/>
        <v>1.4366250863063239E-2</v>
      </c>
      <c r="C206" s="83">
        <f t="shared" si="7"/>
        <v>7.102171353635618E-4</v>
      </c>
      <c r="D206" s="82">
        <f t="shared" si="8"/>
        <v>1.5617759705059575E-2</v>
      </c>
      <c r="E206" s="82">
        <f t="shared" si="9"/>
        <v>1.509721977408994E-2</v>
      </c>
      <c r="F206" s="82">
        <f t="shared" si="10"/>
        <v>7.7208735001574303E-4</v>
      </c>
      <c r="G206" s="80"/>
      <c r="H206" s="78" t="s">
        <v>133</v>
      </c>
      <c r="I206" s="87">
        <f>'[1]Cost of Equity '!C4</f>
        <v>0.62</v>
      </c>
      <c r="J206" s="8"/>
      <c r="K206" s="8"/>
    </row>
    <row r="207" spans="1:11">
      <c r="A207" s="78"/>
      <c r="B207" s="82">
        <f t="shared" si="6"/>
        <v>9.8797856485354947E-3</v>
      </c>
      <c r="C207" s="83">
        <f t="shared" si="7"/>
        <v>4.0695999433219463E-4</v>
      </c>
      <c r="D207" s="82">
        <f t="shared" si="8"/>
        <v>1.1105669649863072E-2</v>
      </c>
      <c r="E207" s="82">
        <f t="shared" si="9"/>
        <v>1.1100561041824135E-2</v>
      </c>
      <c r="F207" s="82">
        <f t="shared" si="10"/>
        <v>4.5745559858714622E-4</v>
      </c>
      <c r="G207" s="80"/>
      <c r="H207" s="81" t="s">
        <v>166</v>
      </c>
      <c r="I207" s="85">
        <f>I204+(I205*I206)</f>
        <v>7.1282999999999999E-2</v>
      </c>
      <c r="J207" s="8"/>
      <c r="K207" s="8"/>
    </row>
    <row r="208" spans="1:11">
      <c r="A208" s="78"/>
      <c r="B208" s="82">
        <f t="shared" si="6"/>
        <v>5.7465003452252961E-3</v>
      </c>
      <c r="C208" s="83">
        <f t="shared" si="7"/>
        <v>1.6796953050925988E-4</v>
      </c>
      <c r="D208" s="82">
        <f t="shared" si="8"/>
        <v>6.5233757131104662E-3</v>
      </c>
      <c r="E208" s="82">
        <f t="shared" si="9"/>
        <v>6.5848259123279665E-3</v>
      </c>
      <c r="F208" s="82">
        <f t="shared" si="10"/>
        <v>1.9067750631514396E-4</v>
      </c>
      <c r="G208" s="80"/>
      <c r="H208" s="8"/>
      <c r="I208" s="8"/>
      <c r="J208" s="8"/>
      <c r="K208" s="8"/>
    </row>
    <row r="209" spans="1:11">
      <c r="A209" s="78"/>
      <c r="B209" s="82">
        <f t="shared" si="6"/>
        <v>1.7239501035675887E-2</v>
      </c>
      <c r="C209" s="83">
        <f t="shared" si="7"/>
        <v>7.6334261986134235E-4</v>
      </c>
      <c r="D209" s="82">
        <f t="shared" si="8"/>
        <v>1.7801987420376926E-2</v>
      </c>
      <c r="E209" s="82">
        <f t="shared" si="9"/>
        <v>1.6346140889138501E-2</v>
      </c>
      <c r="F209" s="82">
        <f t="shared" si="10"/>
        <v>7.882487833080383E-4</v>
      </c>
      <c r="G209" s="80"/>
      <c r="H209" s="8"/>
      <c r="I209" s="8"/>
      <c r="J209" s="8"/>
      <c r="K209" s="8"/>
    </row>
    <row r="210" spans="1:11">
      <c r="A210" s="78"/>
      <c r="B210" s="82">
        <f t="shared" si="6"/>
        <v>4.3098752589189717E-3</v>
      </c>
      <c r="C210" s="83">
        <f t="shared" si="7"/>
        <v>1.6381715316249895E-4</v>
      </c>
      <c r="D210" s="82">
        <f t="shared" si="8"/>
        <v>4.9570921495709899E-3</v>
      </c>
      <c r="E210" s="82">
        <f t="shared" si="9"/>
        <v>5.0698164250522343E-3</v>
      </c>
      <c r="F210" s="82">
        <f t="shared" si="10"/>
        <v>1.8841768615609003E-4</v>
      </c>
      <c r="G210" s="80"/>
      <c r="H210" s="129" t="s">
        <v>233</v>
      </c>
      <c r="I210" s="129"/>
      <c r="J210" s="129"/>
      <c r="K210" s="129"/>
    </row>
    <row r="211" spans="1:11">
      <c r="A211" s="78"/>
      <c r="B211" s="82">
        <f t="shared" si="6"/>
        <v>1.2929625776756916E-2</v>
      </c>
      <c r="C211" s="83">
        <f t="shared" si="7"/>
        <v>5.253275755202298E-4</v>
      </c>
      <c r="D211" s="82">
        <f t="shared" si="8"/>
        <v>1.3803703930903452E-2</v>
      </c>
      <c r="E211" s="82">
        <f t="shared" si="9"/>
        <v>1.3104132215685266E-2</v>
      </c>
      <c r="F211" s="82">
        <f t="shared" si="10"/>
        <v>5.6084116001688577E-4</v>
      </c>
      <c r="G211" s="80"/>
      <c r="H211" s="78"/>
      <c r="I211" s="78" t="s">
        <v>234</v>
      </c>
      <c r="J211" s="78" t="s">
        <v>235</v>
      </c>
      <c r="K211" s="78" t="s">
        <v>236</v>
      </c>
    </row>
    <row r="212" spans="1:11">
      <c r="A212" s="78"/>
      <c r="B212" s="82">
        <f t="shared" si="6"/>
        <v>1.8067146494397307E-2</v>
      </c>
      <c r="C212" s="83">
        <f t="shared" si="7"/>
        <v>7.6954485645297022E-4</v>
      </c>
      <c r="D212" s="82">
        <f t="shared" si="8"/>
        <v>2.0348945375256111E-2</v>
      </c>
      <c r="E212" s="82">
        <f t="shared" si="9"/>
        <v>2.0379672282772744E-2</v>
      </c>
      <c r="F212" s="82">
        <f t="shared" si="10"/>
        <v>8.6673489101485096E-4</v>
      </c>
      <c r="G212" s="80"/>
      <c r="H212" s="78" t="s">
        <v>237</v>
      </c>
      <c r="I212" s="77">
        <f>'[1]Balance Sheets'!B79*1000000</f>
        <v>104372000000</v>
      </c>
      <c r="J212" s="78">
        <f>I212/I214</f>
        <v>0.31430722438040171</v>
      </c>
      <c r="K212" s="86">
        <f>J212*I207</f>
        <v>2.2404761875508175E-2</v>
      </c>
    </row>
    <row r="213" spans="1:11">
      <c r="A213" s="78"/>
      <c r="B213" s="82">
        <f t="shared" si="6"/>
        <v>1.8067146494397307E-2</v>
      </c>
      <c r="C213" s="83">
        <f t="shared" si="7"/>
        <v>7.6954485645297022E-4</v>
      </c>
      <c r="D213" s="82">
        <f t="shared" si="8"/>
        <v>2.0348945375256111E-2</v>
      </c>
      <c r="E213" s="82">
        <f t="shared" si="9"/>
        <v>2.0379672282772744E-2</v>
      </c>
      <c r="F213" s="82">
        <f t="shared" si="10"/>
        <v>8.6673489101485096E-4</v>
      </c>
      <c r="G213" s="80"/>
      <c r="H213" s="78" t="s">
        <v>238</v>
      </c>
      <c r="I213" s="77">
        <f>('[1]Balance Sheets'!B67-'[1]Balance Sheets'!B53)*1000000</f>
        <v>227698000000</v>
      </c>
      <c r="J213" s="78">
        <f>I213/I214</f>
        <v>0.68569277561959829</v>
      </c>
      <c r="K213" s="86">
        <f>J213*I201</f>
        <v>2.3992285568682933E-2</v>
      </c>
    </row>
    <row r="214" spans="1:11">
      <c r="A214" s="78"/>
      <c r="B214" s="82">
        <f t="shared" si="6"/>
        <v>1.8067146494397307E-2</v>
      </c>
      <c r="C214" s="83">
        <f t="shared" si="7"/>
        <v>7.6954485645297022E-4</v>
      </c>
      <c r="D214" s="82">
        <f t="shared" si="8"/>
        <v>2.0348945375256111E-2</v>
      </c>
      <c r="E214" s="82">
        <f t="shared" si="9"/>
        <v>2.0379672282772744E-2</v>
      </c>
      <c r="F214" s="82">
        <f t="shared" si="10"/>
        <v>8.6673489101485096E-4</v>
      </c>
      <c r="G214" s="80"/>
      <c r="H214" s="78" t="s">
        <v>239</v>
      </c>
      <c r="I214" s="77">
        <f>I212+I213</f>
        <v>332070000000</v>
      </c>
      <c r="J214" s="88" t="s">
        <v>240</v>
      </c>
      <c r="K214" s="85">
        <f>K212+K213</f>
        <v>4.6397047444191111E-2</v>
      </c>
    </row>
    <row r="215" spans="1:11">
      <c r="A215" s="78"/>
      <c r="B215" s="82">
        <f t="shared" si="6"/>
        <v>8.5620039358687752E-3</v>
      </c>
      <c r="C215" s="83">
        <f t="shared" si="7"/>
        <v>3.5219080437195967E-4</v>
      </c>
      <c r="D215" s="82">
        <f t="shared" si="8"/>
        <v>9.6447906263023124E-3</v>
      </c>
      <c r="E215" s="82">
        <f t="shared" si="9"/>
        <v>9.6608009787419735E-3</v>
      </c>
      <c r="F215" s="82">
        <f t="shared" si="10"/>
        <v>3.9673032085938635E-4</v>
      </c>
      <c r="G215" s="80"/>
      <c r="H215" s="8"/>
      <c r="I215" s="8"/>
      <c r="J215" s="8"/>
      <c r="K215" s="8"/>
    </row>
    <row r="216" spans="1:11">
      <c r="A216" s="78"/>
      <c r="B216" s="82">
        <f t="shared" si="6"/>
        <v>7.452027168686092E-3</v>
      </c>
      <c r="C216" s="83">
        <f t="shared" si="7"/>
        <v>4.1781081362589464E-4</v>
      </c>
      <c r="D216" s="82">
        <f t="shared" si="8"/>
        <v>7.1862205778766295E-3</v>
      </c>
      <c r="E216" s="82">
        <f t="shared" si="9"/>
        <v>6.1621122833234307E-3</v>
      </c>
      <c r="F216" s="82">
        <f t="shared" si="10"/>
        <v>4.0290790661021776E-4</v>
      </c>
      <c r="G216" s="80"/>
      <c r="H216" s="129" t="s">
        <v>241</v>
      </c>
      <c r="I216" s="129"/>
      <c r="J216" s="129"/>
      <c r="K216" s="129"/>
    </row>
    <row r="217" spans="1:11">
      <c r="A217" s="78"/>
      <c r="B217" s="82">
        <f t="shared" si="6"/>
        <v>5.7465003452252961E-3</v>
      </c>
      <c r="C217" s="83">
        <f t="shared" si="7"/>
        <v>2.4955068134890343E-4</v>
      </c>
      <c r="D217" s="82">
        <f t="shared" si="8"/>
        <v>6.5596949573375283E-3</v>
      </c>
      <c r="E217" s="82">
        <f t="shared" si="9"/>
        <v>6.6583527694958847E-3</v>
      </c>
      <c r="F217" s="82">
        <f t="shared" si="10"/>
        <v>2.8486491737613688E-4</v>
      </c>
      <c r="G217" s="80"/>
      <c r="H217" s="78"/>
      <c r="I217" s="78" t="s">
        <v>234</v>
      </c>
      <c r="J217" s="78" t="s">
        <v>235</v>
      </c>
      <c r="K217" s="78" t="s">
        <v>236</v>
      </c>
    </row>
    <row r="218" spans="1:11">
      <c r="A218" s="78"/>
      <c r="B218" s="82">
        <f t="shared" si="6"/>
        <v>7.1831254315316197E-3</v>
      </c>
      <c r="C218" s="83">
        <f t="shared" si="7"/>
        <v>2.5952542976889011E-4</v>
      </c>
      <c r="D218" s="82">
        <f t="shared" si="8"/>
        <v>8.4985092741632993E-3</v>
      </c>
      <c r="E218" s="82">
        <f t="shared" si="9"/>
        <v>8.9407716967907554E-3</v>
      </c>
      <c r="F218" s="82">
        <f t="shared" si="10"/>
        <v>3.0705008464565329E-4</v>
      </c>
      <c r="G218" s="80"/>
      <c r="H218" s="78" t="s">
        <v>242</v>
      </c>
      <c r="I218" s="77">
        <f>'[1]Balance Sheets'!B84*25.65</f>
        <v>184680000000</v>
      </c>
      <c r="J218" s="78">
        <f>I218/I220</f>
        <v>0.47073032577160151</v>
      </c>
      <c r="K218" s="86">
        <f>J218*I207</f>
        <v>3.3555069811977069E-2</v>
      </c>
    </row>
    <row r="219" spans="1:11">
      <c r="A219" s="78"/>
      <c r="B219" s="82">
        <f t="shared" si="6"/>
        <v>1.0056375604144267E-2</v>
      </c>
      <c r="C219" s="83">
        <f t="shared" si="7"/>
        <v>3.7847718372670036E-4</v>
      </c>
      <c r="D219" s="82">
        <f t="shared" si="8"/>
        <v>1.0701494392749165E-2</v>
      </c>
      <c r="E219" s="82">
        <f t="shared" si="9"/>
        <v>1.0126289069138898E-2</v>
      </c>
      <c r="F219" s="82">
        <f t="shared" si="10"/>
        <v>4.0275658138361984E-4</v>
      </c>
      <c r="G219" s="80"/>
      <c r="H219" s="78" t="s">
        <v>243</v>
      </c>
      <c r="I219" s="77">
        <f>I213*E382</f>
        <v>207646540036.01794</v>
      </c>
      <c r="J219" s="78">
        <f>I219/I220</f>
        <v>0.52926967422839843</v>
      </c>
      <c r="K219" s="86">
        <f>J219*I201</f>
        <v>1.8519065124256471E-2</v>
      </c>
    </row>
    <row r="220" spans="1:11">
      <c r="A220" s="78"/>
      <c r="B220" s="82">
        <f t="shared" si="6"/>
        <v>5.7465003452252961E-3</v>
      </c>
      <c r="C220" s="83">
        <f t="shared" si="7"/>
        <v>1.9723960642433153E-4</v>
      </c>
      <c r="D220" s="82">
        <f t="shared" si="8"/>
        <v>6.5324878366620947E-3</v>
      </c>
      <c r="E220" s="82">
        <f t="shared" si="9"/>
        <v>6.6032346799331449E-3</v>
      </c>
      <c r="F220" s="82">
        <f t="shared" si="10"/>
        <v>2.2421739362558918E-4</v>
      </c>
      <c r="G220" s="80"/>
      <c r="H220" s="78" t="s">
        <v>244</v>
      </c>
      <c r="I220" s="77">
        <f>I218+I219</f>
        <v>392326540036.01794</v>
      </c>
      <c r="J220" s="88" t="s">
        <v>245</v>
      </c>
      <c r="K220" s="85">
        <f>K218+K219</f>
        <v>5.2074134936233543E-2</v>
      </c>
    </row>
    <row r="221" spans="1:11">
      <c r="A221" s="78"/>
      <c r="B221" s="82">
        <f t="shared" si="6"/>
        <v>9.53712183294971E-4</v>
      </c>
      <c r="C221" s="83">
        <f t="shared" si="7"/>
        <v>4.9322109411865296E-5</v>
      </c>
      <c r="D221" s="82">
        <f t="shared" si="8"/>
        <v>1.1666041286634589E-3</v>
      </c>
      <c r="E221" s="82">
        <f t="shared" si="9"/>
        <v>1.2689153107472441E-3</v>
      </c>
      <c r="F221" s="82">
        <f t="shared" si="10"/>
        <v>6.0332013664207018E-5</v>
      </c>
      <c r="G221" s="80"/>
      <c r="H221" s="8"/>
      <c r="I221" s="8"/>
      <c r="J221" s="8"/>
      <c r="K221" s="8"/>
    </row>
    <row r="222" spans="1:11">
      <c r="A222" s="78"/>
      <c r="B222" s="82">
        <f t="shared" si="6"/>
        <v>4.3077295156900647E-2</v>
      </c>
      <c r="C222" s="83">
        <f t="shared" si="7"/>
        <v>2.4914797279007796E-3</v>
      </c>
      <c r="D222" s="82">
        <f t="shared" si="8"/>
        <v>3.3224767784844185E-2</v>
      </c>
      <c r="E222" s="82">
        <f t="shared" si="9"/>
        <v>2.2786542489879685E-2</v>
      </c>
      <c r="F222" s="82">
        <f t="shared" si="10"/>
        <v>1.9216349378168803E-3</v>
      </c>
      <c r="G222" s="80"/>
      <c r="H222" s="8"/>
      <c r="I222" s="8"/>
      <c r="J222" s="8"/>
      <c r="K222" s="8"/>
    </row>
    <row r="223" spans="1:11">
      <c r="A223" s="78"/>
      <c r="B223" s="82">
        <f t="shared" si="6"/>
        <v>4.3077295156900647E-2</v>
      </c>
      <c r="C223" s="83">
        <f t="shared" si="7"/>
        <v>2.4914797279007796E-3</v>
      </c>
      <c r="D223" s="82">
        <f t="shared" si="8"/>
        <v>3.3224767784844185E-2</v>
      </c>
      <c r="E223" s="82">
        <f t="shared" si="9"/>
        <v>2.2786542489879685E-2</v>
      </c>
      <c r="F223" s="82">
        <f t="shared" si="10"/>
        <v>1.9216349378168803E-3</v>
      </c>
      <c r="G223" s="80"/>
      <c r="H223" s="8"/>
      <c r="I223" s="8"/>
      <c r="J223" s="8"/>
      <c r="K223" s="8"/>
    </row>
    <row r="224" spans="1:11">
      <c r="A224" s="78"/>
      <c r="B224" s="82">
        <f t="shared" si="6"/>
        <v>4.3077295156900647E-2</v>
      </c>
      <c r="C224" s="83">
        <f t="shared" si="7"/>
        <v>2.4914797279007796E-3</v>
      </c>
      <c r="D224" s="82">
        <f t="shared" si="8"/>
        <v>3.3224767784844185E-2</v>
      </c>
      <c r="E224" s="82">
        <f t="shared" si="9"/>
        <v>2.2786542489879685E-2</v>
      </c>
      <c r="F224" s="82">
        <f t="shared" si="10"/>
        <v>1.9216349378168803E-3</v>
      </c>
      <c r="G224" s="80"/>
      <c r="H224" s="8"/>
      <c r="I224" s="8"/>
      <c r="J224" s="8"/>
      <c r="K224" s="8"/>
    </row>
    <row r="225" spans="1:11">
      <c r="A225" s="78"/>
      <c r="B225" s="82">
        <f t="shared" si="6"/>
        <v>2.1515822479079089E-2</v>
      </c>
      <c r="C225" s="83">
        <f t="shared" si="7"/>
        <v>1.0349672999459747E-3</v>
      </c>
      <c r="D225" s="82">
        <f t="shared" si="8"/>
        <v>2.0581417139584886E-2</v>
      </c>
      <c r="E225" s="82">
        <f t="shared" si="9"/>
        <v>1.7506347604759508E-2</v>
      </c>
      <c r="F225" s="82">
        <f t="shared" si="10"/>
        <v>9.9001996073959505E-4</v>
      </c>
      <c r="G225" s="80"/>
      <c r="H225" s="8"/>
      <c r="I225" s="8"/>
      <c r="J225" s="8"/>
      <c r="K225" s="8"/>
    </row>
    <row r="226" spans="1:11">
      <c r="A226" s="78"/>
      <c r="B226" s="82">
        <f t="shared" ref="B226:B257" si="11">G35/$G$191</f>
        <v>1.7239501035675887E-2</v>
      </c>
      <c r="C226" s="83">
        <f t="shared" ref="C226:C257" si="12">B226*(H35/100)</f>
        <v>6.8889865876835092E-4</v>
      </c>
      <c r="D226" s="82">
        <f t="shared" ref="D226:D257" si="13">I35/$I$191</f>
        <v>1.9225999069030501E-2</v>
      </c>
      <c r="E226" s="82">
        <f t="shared" ref="E226:E257" si="14">D226*(F35/100)</f>
        <v>1.9065846496785478E-2</v>
      </c>
      <c r="F226" s="82">
        <f t="shared" ref="F226:F257" si="15">D226*(H35/100)</f>
        <v>7.6828006476101619E-4</v>
      </c>
      <c r="G226" s="80"/>
      <c r="H226" s="8"/>
      <c r="I226" s="8"/>
      <c r="J226" s="8"/>
      <c r="K226" s="8"/>
    </row>
    <row r="227" spans="1:11">
      <c r="A227" s="78"/>
      <c r="B227" s="82">
        <f t="shared" si="11"/>
        <v>1.4366250863063239E-2</v>
      </c>
      <c r="C227" s="83">
        <f t="shared" si="12"/>
        <v>6.527921058606729E-4</v>
      </c>
      <c r="D227" s="82">
        <f t="shared" si="13"/>
        <v>1.4168059622989173E-2</v>
      </c>
      <c r="E227" s="82">
        <f t="shared" si="14"/>
        <v>1.2424538205784126E-2</v>
      </c>
      <c r="F227" s="82">
        <f t="shared" si="15"/>
        <v>6.4378643846670243E-4</v>
      </c>
      <c r="G227" s="80"/>
      <c r="H227" s="8"/>
      <c r="I227" s="8"/>
      <c r="J227" s="8"/>
      <c r="K227" s="8"/>
    </row>
    <row r="228" spans="1:11">
      <c r="A228" s="78"/>
      <c r="B228" s="82">
        <f t="shared" si="11"/>
        <v>3.5315117871582056E-3</v>
      </c>
      <c r="C228" s="83">
        <f t="shared" si="12"/>
        <v>1.9187661151429759E-4</v>
      </c>
      <c r="D228" s="82">
        <f t="shared" si="13"/>
        <v>3.9378501799793393E-3</v>
      </c>
      <c r="E228" s="82">
        <f t="shared" si="14"/>
        <v>3.9044572104531142E-3</v>
      </c>
      <c r="F228" s="82">
        <f t="shared" si="15"/>
        <v>2.1395407823158251E-4</v>
      </c>
      <c r="G228" s="80"/>
      <c r="H228" s="8"/>
      <c r="I228" s="8"/>
      <c r="J228" s="8"/>
      <c r="K228" s="8"/>
    </row>
    <row r="229" spans="1:11">
      <c r="A229" s="78"/>
      <c r="B229" s="82">
        <f t="shared" si="11"/>
        <v>8.0451004833154149E-3</v>
      </c>
      <c r="C229" s="83">
        <f t="shared" si="12"/>
        <v>2.6749830111882607E-4</v>
      </c>
      <c r="D229" s="82">
        <f t="shared" si="13"/>
        <v>9.1738016418256851E-3</v>
      </c>
      <c r="E229" s="82">
        <f t="shared" si="14"/>
        <v>9.301867912745572E-3</v>
      </c>
      <c r="F229" s="82">
        <f t="shared" si="15"/>
        <v>3.0502743366334881E-4</v>
      </c>
      <c r="G229" s="80"/>
      <c r="H229" s="8"/>
      <c r="I229" s="8"/>
      <c r="J229" s="8"/>
      <c r="K229" s="8"/>
    </row>
    <row r="230" spans="1:11">
      <c r="A230" s="78"/>
      <c r="B230" s="82">
        <f t="shared" si="11"/>
        <v>1.4366250863063239E-2</v>
      </c>
      <c r="C230" s="83">
        <f t="shared" si="12"/>
        <v>5.8795752430273692E-4</v>
      </c>
      <c r="D230" s="82">
        <f t="shared" si="13"/>
        <v>1.5725360312956474E-2</v>
      </c>
      <c r="E230" s="82">
        <f t="shared" si="14"/>
        <v>1.5305964953409926E-2</v>
      </c>
      <c r="F230" s="82">
        <f t="shared" si="15"/>
        <v>6.4358084837194327E-4</v>
      </c>
      <c r="G230" s="80"/>
      <c r="H230" s="8"/>
      <c r="I230" s="8"/>
      <c r="J230" s="8"/>
      <c r="K230" s="8"/>
    </row>
    <row r="231" spans="1:11">
      <c r="A231" s="78"/>
      <c r="B231" s="82">
        <f t="shared" si="11"/>
        <v>4.3070761386008127E-2</v>
      </c>
      <c r="C231" s="83">
        <f t="shared" si="12"/>
        <v>2.498409832720613E-3</v>
      </c>
      <c r="D231" s="82">
        <f t="shared" si="13"/>
        <v>3.3052619842158071E-2</v>
      </c>
      <c r="E231" s="82">
        <f t="shared" si="14"/>
        <v>2.2554446727891826E-2</v>
      </c>
      <c r="F231" s="82">
        <f t="shared" si="15"/>
        <v>1.9172865246271356E-3</v>
      </c>
      <c r="G231" s="80"/>
      <c r="H231" s="8"/>
      <c r="I231" s="8"/>
      <c r="J231" s="8"/>
      <c r="K231" s="8"/>
    </row>
    <row r="232" spans="1:11">
      <c r="A232" s="78"/>
      <c r="B232" s="82">
        <f t="shared" si="11"/>
        <v>5.7465003452252961E-3</v>
      </c>
      <c r="C232" s="83">
        <f t="shared" si="12"/>
        <v>1.2257854823733276E-4</v>
      </c>
      <c r="D232" s="82">
        <f t="shared" si="13"/>
        <v>6.4259858535905693E-3</v>
      </c>
      <c r="E232" s="82">
        <f t="shared" si="14"/>
        <v>6.3896790335177828E-3</v>
      </c>
      <c r="F232" s="82">
        <f t="shared" si="15"/>
        <v>1.3707264763000509E-4</v>
      </c>
      <c r="G232" s="80"/>
      <c r="H232" s="8"/>
      <c r="I232" s="8"/>
      <c r="J232" s="8"/>
      <c r="K232" s="8"/>
    </row>
    <row r="233" spans="1:11">
      <c r="A233" s="78"/>
      <c r="B233" s="82">
        <f t="shared" si="11"/>
        <v>7.1831254315316197E-3</v>
      </c>
      <c r="C233" s="83">
        <f t="shared" si="12"/>
        <v>3.6009457056848123E-4</v>
      </c>
      <c r="D233" s="82">
        <f t="shared" si="13"/>
        <v>8.2997874307501052E-3</v>
      </c>
      <c r="E233" s="82">
        <f t="shared" si="14"/>
        <v>8.527533597849888E-3</v>
      </c>
      <c r="F233" s="82">
        <f t="shared" si="15"/>
        <v>4.1607353500555135E-4</v>
      </c>
      <c r="G233" s="80"/>
      <c r="H233" s="8"/>
      <c r="I233" s="8"/>
      <c r="J233" s="8"/>
      <c r="K233" s="8"/>
    </row>
    <row r="234" spans="1:11">
      <c r="A234" s="78"/>
      <c r="B234" s="82">
        <f t="shared" si="11"/>
        <v>5.2366133695934554E-4</v>
      </c>
      <c r="C234" s="83">
        <f t="shared" si="12"/>
        <v>2.3085645229894592E-5</v>
      </c>
      <c r="D234" s="82">
        <f t="shared" si="13"/>
        <v>6.1471409875854164E-4</v>
      </c>
      <c r="E234" s="82">
        <f t="shared" si="14"/>
        <v>6.4165087056614089E-4</v>
      </c>
      <c r="F234" s="82">
        <f t="shared" si="15"/>
        <v>2.7099712352557746E-5</v>
      </c>
      <c r="G234" s="80"/>
      <c r="H234" s="8"/>
      <c r="I234" s="8"/>
      <c r="J234" s="8"/>
      <c r="K234" s="8"/>
    </row>
    <row r="235" spans="1:11">
      <c r="A235" s="78"/>
      <c r="B235" s="82">
        <f t="shared" si="11"/>
        <v>1.4366250863063239E-2</v>
      </c>
      <c r="C235" s="83">
        <f t="shared" si="12"/>
        <v>7.8749849429970954E-4</v>
      </c>
      <c r="D235" s="82">
        <f t="shared" si="13"/>
        <v>1.2834522959954613E-2</v>
      </c>
      <c r="E235" s="82">
        <f t="shared" si="14"/>
        <v>1.0195745039387945E-2</v>
      </c>
      <c r="F235" s="82">
        <f t="shared" si="15"/>
        <v>7.035355015277947E-4</v>
      </c>
      <c r="G235" s="80"/>
      <c r="H235" s="8"/>
      <c r="I235" s="8"/>
      <c r="J235" s="8"/>
      <c r="K235" s="8"/>
    </row>
    <row r="236" spans="1:11">
      <c r="A236" s="78"/>
      <c r="B236" s="82">
        <f t="shared" si="11"/>
        <v>1.7239501035675887E-2</v>
      </c>
      <c r="C236" s="83">
        <f t="shared" si="12"/>
        <v>9.9823585230361862E-4</v>
      </c>
      <c r="D236" s="82">
        <f t="shared" si="13"/>
        <v>1.388745791759077E-2</v>
      </c>
      <c r="E236" s="82">
        <f t="shared" si="14"/>
        <v>9.9477249809494447E-3</v>
      </c>
      <c r="F236" s="82">
        <f t="shared" si="15"/>
        <v>8.0413918952807742E-4</v>
      </c>
      <c r="G236" s="80"/>
      <c r="H236" s="8"/>
      <c r="I236" s="8"/>
      <c r="J236" s="8"/>
      <c r="K236" s="8"/>
    </row>
    <row r="237" spans="1:11">
      <c r="A237" s="78"/>
      <c r="B237" s="82">
        <f t="shared" si="11"/>
        <v>8.4250016211382588E-4</v>
      </c>
      <c r="C237" s="83">
        <f t="shared" si="12"/>
        <v>4.4323891184750232E-5</v>
      </c>
      <c r="D237" s="82">
        <f t="shared" si="13"/>
        <v>1.0309458466900715E-3</v>
      </c>
      <c r="E237" s="82">
        <f t="shared" si="14"/>
        <v>1.1217721757834668E-3</v>
      </c>
      <c r="F237" s="82">
        <f t="shared" si="15"/>
        <v>5.4238009179026406E-5</v>
      </c>
      <c r="G237" s="80"/>
      <c r="H237" s="8"/>
      <c r="I237" s="8"/>
      <c r="J237" s="8"/>
      <c r="K237" s="8"/>
    </row>
    <row r="238" spans="1:11">
      <c r="A238" s="78"/>
      <c r="B238" s="82">
        <f t="shared" si="11"/>
        <v>1.0756287853192019E-2</v>
      </c>
      <c r="C238" s="83">
        <f t="shared" si="12"/>
        <v>6.1348051065393842E-4</v>
      </c>
      <c r="D238" s="82">
        <f t="shared" si="13"/>
        <v>1.0712532927918841E-2</v>
      </c>
      <c r="E238" s="82">
        <f t="shared" si="14"/>
        <v>9.4869120356356456E-3</v>
      </c>
      <c r="F238" s="82">
        <f t="shared" si="15"/>
        <v>6.1098496625548238E-4</v>
      </c>
      <c r="G238" s="80"/>
      <c r="H238" s="8"/>
      <c r="I238" s="8"/>
      <c r="J238" s="8"/>
      <c r="K238" s="8"/>
    </row>
    <row r="239" spans="1:11">
      <c r="A239" s="78"/>
      <c r="B239" s="82">
        <f t="shared" si="11"/>
        <v>3.4037848986349171E-2</v>
      </c>
      <c r="C239" s="83">
        <f t="shared" si="12"/>
        <v>1.981830276560436E-3</v>
      </c>
      <c r="D239" s="82">
        <f t="shared" si="13"/>
        <v>2.7094552773814388E-2</v>
      </c>
      <c r="E239" s="82">
        <f t="shared" si="14"/>
        <v>1.91780663443613E-2</v>
      </c>
      <c r="F239" s="82">
        <f t="shared" si="15"/>
        <v>1.5775616443490573E-3</v>
      </c>
      <c r="G239" s="80"/>
      <c r="H239" s="8"/>
      <c r="I239" s="8"/>
      <c r="J239" s="8"/>
      <c r="K239" s="8"/>
    </row>
    <row r="240" spans="1:11">
      <c r="A240" s="78"/>
      <c r="B240" s="82">
        <f t="shared" si="11"/>
        <v>2.8732501726126481E-3</v>
      </c>
      <c r="C240" s="83">
        <f t="shared" si="12"/>
        <v>1.1302132069263768E-4</v>
      </c>
      <c r="D240" s="82">
        <f t="shared" si="13"/>
        <v>2.8114455531211757E-3</v>
      </c>
      <c r="E240" s="82">
        <f t="shared" si="14"/>
        <v>2.4461825468596724E-3</v>
      </c>
      <c r="F240" s="82">
        <f t="shared" si="15"/>
        <v>1.1059019242319065E-4</v>
      </c>
      <c r="G240" s="80"/>
      <c r="H240" s="8"/>
      <c r="I240" s="8"/>
      <c r="J240" s="8"/>
      <c r="K240" s="8"/>
    </row>
    <row r="241" spans="1:11">
      <c r="A241" s="78"/>
      <c r="B241" s="82">
        <f t="shared" si="11"/>
        <v>3.7328754804052795E-2</v>
      </c>
      <c r="C241" s="83">
        <f t="shared" si="12"/>
        <v>2.1772650291508218E-3</v>
      </c>
      <c r="D241" s="82">
        <f t="shared" si="13"/>
        <v>2.8513112295723706E-2</v>
      </c>
      <c r="E241" s="82">
        <f t="shared" si="14"/>
        <v>1.93663910023785E-2</v>
      </c>
      <c r="F241" s="82">
        <f t="shared" si="15"/>
        <v>1.6630772336126631E-3</v>
      </c>
      <c r="G241" s="80"/>
      <c r="H241" s="8"/>
      <c r="I241" s="8"/>
      <c r="J241" s="8"/>
      <c r="K241" s="8"/>
    </row>
    <row r="242" spans="1:11">
      <c r="A242" s="78"/>
      <c r="B242" s="82">
        <f t="shared" si="11"/>
        <v>1.2929625776756916E-2</v>
      </c>
      <c r="C242" s="83">
        <f t="shared" si="12"/>
        <v>3.0289293974314563E-4</v>
      </c>
      <c r="D242" s="82">
        <f t="shared" si="13"/>
        <v>1.4565487153568129E-2</v>
      </c>
      <c r="E242" s="82">
        <f t="shared" si="14"/>
        <v>1.4590394136600732E-2</v>
      </c>
      <c r="F242" s="82">
        <f t="shared" si="15"/>
        <v>3.412150745047984E-4</v>
      </c>
      <c r="G242" s="80"/>
      <c r="H242" s="8"/>
      <c r="I242" s="8"/>
      <c r="J242" s="8"/>
      <c r="K242" s="8"/>
    </row>
    <row r="243" spans="1:11">
      <c r="A243" s="78"/>
      <c r="B243" s="82">
        <f t="shared" si="11"/>
        <v>3.1099830008345492E-3</v>
      </c>
      <c r="C243" s="83">
        <f t="shared" si="12"/>
        <v>1.6907934984836245E-4</v>
      </c>
      <c r="D243" s="82">
        <f t="shared" si="13"/>
        <v>3.5387488414864339E-3</v>
      </c>
      <c r="E243" s="82">
        <f t="shared" si="14"/>
        <v>3.5805060778159739E-3</v>
      </c>
      <c r="F243" s="82">
        <f t="shared" si="15"/>
        <v>1.9238991121000123E-4</v>
      </c>
      <c r="G243" s="80"/>
      <c r="H243" s="8"/>
      <c r="I243" s="8"/>
      <c r="J243" s="8"/>
      <c r="K243" s="8"/>
    </row>
    <row r="244" spans="1:11">
      <c r="A244" s="78"/>
      <c r="B244" s="82">
        <f t="shared" si="11"/>
        <v>5.7465003452252961E-3</v>
      </c>
      <c r="C244" s="83">
        <f t="shared" si="12"/>
        <v>1.6160941701829132E-4</v>
      </c>
      <c r="D244" s="82">
        <f t="shared" si="13"/>
        <v>6.4629513477149096E-3</v>
      </c>
      <c r="E244" s="82">
        <f t="shared" si="14"/>
        <v>6.46340375430925E-3</v>
      </c>
      <c r="F244" s="82">
        <f t="shared" si="15"/>
        <v>1.8175824184707976E-4</v>
      </c>
      <c r="G244" s="80"/>
      <c r="H244" s="8"/>
      <c r="I244" s="8"/>
      <c r="J244" s="8"/>
      <c r="K244" s="8"/>
    </row>
    <row r="245" spans="1:11">
      <c r="A245" s="78"/>
      <c r="B245" s="82">
        <f t="shared" si="11"/>
        <v>7.1831254315316197E-3</v>
      </c>
      <c r="C245" s="83">
        <f t="shared" si="12"/>
        <v>2.3602435483663923E-4</v>
      </c>
      <c r="D245" s="82">
        <f t="shared" si="13"/>
        <v>8.0785276221693146E-3</v>
      </c>
      <c r="E245" s="82">
        <f t="shared" si="14"/>
        <v>8.0789315485504214E-3</v>
      </c>
      <c r="F245" s="82">
        <f t="shared" si="15"/>
        <v>2.654456320200885E-4</v>
      </c>
      <c r="G245" s="80"/>
      <c r="H245" s="8"/>
      <c r="I245" s="8"/>
      <c r="J245" s="8"/>
      <c r="K245" s="8"/>
    </row>
    <row r="246" spans="1:11">
      <c r="A246" s="78"/>
      <c r="B246" s="82">
        <f t="shared" si="11"/>
        <v>6.0626727942195919E-3</v>
      </c>
      <c r="C246" s="83">
        <f t="shared" si="12"/>
        <v>3.0624502181949838E-4</v>
      </c>
      <c r="D246" s="82">
        <f t="shared" si="13"/>
        <v>6.9330864340595121E-3</v>
      </c>
      <c r="E246" s="82">
        <f t="shared" si="14"/>
        <v>7.0500476022020957E-3</v>
      </c>
      <c r="F246" s="82">
        <f t="shared" si="15"/>
        <v>3.5021240273751768E-4</v>
      </c>
      <c r="G246" s="80"/>
      <c r="H246" s="8"/>
      <c r="I246" s="8"/>
      <c r="J246" s="8"/>
      <c r="K246" s="8"/>
    </row>
    <row r="247" spans="1:11">
      <c r="A247" s="78"/>
      <c r="B247" s="82">
        <f t="shared" si="11"/>
        <v>6.2276548191310096E-4</v>
      </c>
      <c r="C247" s="83">
        <f t="shared" si="12"/>
        <v>3.3765039131561211E-5</v>
      </c>
      <c r="D247" s="82">
        <f t="shared" si="13"/>
        <v>7.6547991127933965E-4</v>
      </c>
      <c r="E247" s="82">
        <f t="shared" si="14"/>
        <v>8.3665423343009268E-4</v>
      </c>
      <c r="F247" s="82">
        <f t="shared" si="15"/>
        <v>4.1502716366636153E-5</v>
      </c>
      <c r="G247" s="80"/>
      <c r="H247" s="8"/>
      <c r="I247" s="8"/>
      <c r="J247" s="8"/>
      <c r="K247" s="8"/>
    </row>
    <row r="248" spans="1:11">
      <c r="A248" s="78"/>
      <c r="B248" s="82">
        <f t="shared" si="11"/>
        <v>7.1831254315316197E-3</v>
      </c>
      <c r="C248" s="83">
        <f t="shared" si="12"/>
        <v>4.3861835441318743E-4</v>
      </c>
      <c r="D248" s="82">
        <f t="shared" si="13"/>
        <v>6.9890310765946201E-3</v>
      </c>
      <c r="E248" s="82">
        <f t="shared" si="14"/>
        <v>6.0467699068481335E-3</v>
      </c>
      <c r="F248" s="82">
        <f t="shared" si="15"/>
        <v>4.2676650143152464E-4</v>
      </c>
      <c r="G248" s="80"/>
      <c r="H248" s="8"/>
      <c r="I248" s="8"/>
      <c r="J248" s="8"/>
      <c r="K248" s="8"/>
    </row>
    <row r="249" spans="1:11">
      <c r="A249" s="78"/>
      <c r="B249" s="82">
        <f t="shared" si="11"/>
        <v>4.5972002761802367E-3</v>
      </c>
      <c r="C249" s="83">
        <f t="shared" si="12"/>
        <v>1.3095315255624436E-4</v>
      </c>
      <c r="D249" s="82">
        <f t="shared" si="13"/>
        <v>5.1208841860362715E-3</v>
      </c>
      <c r="E249" s="82">
        <f t="shared" si="14"/>
        <v>5.0722357862689263E-3</v>
      </c>
      <c r="F249" s="82">
        <f t="shared" si="15"/>
        <v>1.4587050547079013E-4</v>
      </c>
      <c r="G249" s="80"/>
      <c r="H249" s="8"/>
      <c r="I249" s="8"/>
      <c r="J249" s="8"/>
      <c r="K249" s="8"/>
    </row>
    <row r="250" spans="1:11">
      <c r="A250" s="78"/>
      <c r="B250" s="82">
        <f t="shared" si="11"/>
        <v>3.7160893782468419E-3</v>
      </c>
      <c r="C250" s="83">
        <f t="shared" si="12"/>
        <v>2.1568566939245042E-4</v>
      </c>
      <c r="D250" s="82">
        <f t="shared" si="13"/>
        <v>2.7410326607770438E-3</v>
      </c>
      <c r="E250" s="82">
        <f t="shared" si="14"/>
        <v>1.7978159118770551E-3</v>
      </c>
      <c r="F250" s="82">
        <f t="shared" si="15"/>
        <v>1.5909236944811598E-4</v>
      </c>
      <c r="G250" s="80"/>
      <c r="H250" s="8"/>
      <c r="I250" s="8"/>
      <c r="J250" s="8"/>
      <c r="K250" s="8"/>
    </row>
    <row r="251" spans="1:11">
      <c r="A251" s="78"/>
      <c r="B251" s="82">
        <f t="shared" si="11"/>
        <v>8.4282541403336558E-3</v>
      </c>
      <c r="C251" s="83">
        <f t="shared" si="12"/>
        <v>1.8608409299265087E-4</v>
      </c>
      <c r="D251" s="82">
        <f t="shared" si="13"/>
        <v>9.447113449337817E-3</v>
      </c>
      <c r="E251" s="82">
        <f t="shared" si="14"/>
        <v>9.4159379749550031E-3</v>
      </c>
      <c r="F251" s="82">
        <f t="shared" si="15"/>
        <v>2.0857908510446357E-4</v>
      </c>
      <c r="G251" s="80"/>
      <c r="H251" s="8"/>
      <c r="I251" s="8"/>
      <c r="J251" s="8"/>
      <c r="K251" s="8"/>
    </row>
    <row r="252" spans="1:11">
      <c r="A252" s="78"/>
      <c r="B252" s="82">
        <f t="shared" si="11"/>
        <v>5.7465003452252961E-3</v>
      </c>
      <c r="C252" s="83">
        <f t="shared" si="12"/>
        <v>1.7686726510804791E-4</v>
      </c>
      <c r="D252" s="82">
        <f t="shared" si="13"/>
        <v>6.7407741785550134E-3</v>
      </c>
      <c r="E252" s="82">
        <f t="shared" si="14"/>
        <v>7.0310319146835911E-3</v>
      </c>
      <c r="F252" s="82">
        <f t="shared" si="15"/>
        <v>2.0746928078801524E-4</v>
      </c>
      <c r="G252" s="80"/>
      <c r="H252" s="8"/>
      <c r="I252" s="8"/>
      <c r="J252" s="8"/>
      <c r="K252" s="8"/>
    </row>
    <row r="253" spans="1:11">
      <c r="A253" s="78"/>
      <c r="B253" s="82">
        <f t="shared" si="11"/>
        <v>6.6270940581276202E-4</v>
      </c>
      <c r="C253" s="83">
        <f t="shared" si="12"/>
        <v>2.9762984126979094E-5</v>
      </c>
      <c r="D253" s="82">
        <f t="shared" si="13"/>
        <v>7.9116819696344065E-4</v>
      </c>
      <c r="E253" s="82">
        <f t="shared" si="14"/>
        <v>8.3988042285047966E-4</v>
      </c>
      <c r="F253" s="82">
        <f t="shared" si="15"/>
        <v>3.5532205038065402E-5</v>
      </c>
      <c r="G253" s="80"/>
      <c r="H253" s="8"/>
      <c r="I253" s="8"/>
      <c r="J253" s="8"/>
      <c r="K253" s="8"/>
    </row>
    <row r="254" spans="1:11">
      <c r="A254" s="78"/>
      <c r="B254" s="82">
        <f t="shared" si="11"/>
        <v>6.4089569050228678E-3</v>
      </c>
      <c r="C254" s="83">
        <f t="shared" si="12"/>
        <v>3.656336656329128E-4</v>
      </c>
      <c r="D254" s="82">
        <f t="shared" si="13"/>
        <v>6.0640266370739285E-3</v>
      </c>
      <c r="E254" s="82">
        <f t="shared" si="14"/>
        <v>5.10196881110215E-3</v>
      </c>
      <c r="F254" s="82">
        <f t="shared" si="15"/>
        <v>3.4595524992082221E-4</v>
      </c>
      <c r="G254" s="80"/>
      <c r="H254" s="8"/>
      <c r="I254" s="8"/>
      <c r="J254" s="8"/>
      <c r="K254" s="8"/>
    </row>
    <row r="255" spans="1:11">
      <c r="A255" s="78"/>
      <c r="B255" s="82">
        <f t="shared" si="11"/>
        <v>3.0277505808943752E-3</v>
      </c>
      <c r="C255" s="83">
        <f t="shared" si="12"/>
        <v>1.6008726779287731E-4</v>
      </c>
      <c r="D255" s="82">
        <f t="shared" si="13"/>
        <v>3.7113140548062206E-3</v>
      </c>
      <c r="E255" s="82">
        <f t="shared" si="14"/>
        <v>4.0451838671765883E-3</v>
      </c>
      <c r="F255" s="82">
        <f t="shared" si="15"/>
        <v>1.9622954767288986E-4</v>
      </c>
      <c r="G255" s="80"/>
      <c r="H255" s="8"/>
      <c r="I255" s="8"/>
      <c r="J255" s="8"/>
      <c r="K255" s="8"/>
    </row>
    <row r="256" spans="1:11">
      <c r="A256" s="78"/>
      <c r="B256" s="82">
        <f t="shared" si="11"/>
        <v>5.7465003452252961E-3</v>
      </c>
      <c r="C256" s="83">
        <f t="shared" si="12"/>
        <v>1.1161771117589229E-4</v>
      </c>
      <c r="D256" s="82">
        <f t="shared" si="13"/>
        <v>6.4712233464000761E-3</v>
      </c>
      <c r="E256" s="82">
        <f t="shared" si="14"/>
        <v>6.4799594979177162E-3</v>
      </c>
      <c r="F256" s="82">
        <f t="shared" si="15"/>
        <v>1.2569443923088398E-4</v>
      </c>
      <c r="G256" s="80"/>
      <c r="H256" s="8"/>
      <c r="I256" s="8"/>
      <c r="J256" s="8"/>
      <c r="K256" s="8"/>
    </row>
    <row r="257" spans="1:11">
      <c r="A257" s="78"/>
      <c r="B257" s="82">
        <f t="shared" si="11"/>
        <v>7.1831254315316197E-3</v>
      </c>
      <c r="C257" s="83">
        <f t="shared" si="12"/>
        <v>2.6090999536912515E-4</v>
      </c>
      <c r="D257" s="82">
        <f t="shared" si="13"/>
        <v>7.3327552407097185E-3</v>
      </c>
      <c r="E257" s="82">
        <f t="shared" si="14"/>
        <v>6.6561619146494324E-3</v>
      </c>
      <c r="F257" s="82">
        <f t="shared" si="15"/>
        <v>2.6634494331648635E-4</v>
      </c>
      <c r="G257" s="80"/>
      <c r="H257" s="8"/>
      <c r="I257" s="8"/>
      <c r="J257" s="8"/>
      <c r="K257" s="8"/>
    </row>
    <row r="258" spans="1:11">
      <c r="A258" s="78"/>
      <c r="B258" s="82">
        <f t="shared" ref="B258:B289" si="16">G67/$G$191</f>
        <v>1.0056375604144267E-2</v>
      </c>
      <c r="C258" s="83">
        <f t="shared" ref="C258:C289" si="17">B258*(H67/100)</f>
        <v>2.5850471890821009E-4</v>
      </c>
      <c r="D258" s="82">
        <f t="shared" ref="D258:D289" si="18">I67/$I$191</f>
        <v>1.1045299338101423E-2</v>
      </c>
      <c r="E258" s="82">
        <f t="shared" ref="E258:E289" si="19">D258*(F67/100)</f>
        <v>1.0787391598556755E-2</v>
      </c>
      <c r="F258" s="82">
        <f t="shared" ref="F258:F289" si="20">D258*(H67/100)</f>
        <v>2.8392555260926057E-4</v>
      </c>
      <c r="G258" s="80"/>
      <c r="H258" s="8"/>
      <c r="I258" s="8"/>
      <c r="J258" s="8"/>
      <c r="K258" s="8"/>
    </row>
    <row r="259" spans="1:11">
      <c r="A259" s="78"/>
      <c r="B259" s="82">
        <f t="shared" si="16"/>
        <v>6.4456770422288581E-4</v>
      </c>
      <c r="C259" s="83">
        <f t="shared" si="17"/>
        <v>3.0899559817949487E-5</v>
      </c>
      <c r="D259" s="82">
        <f t="shared" si="18"/>
        <v>8.0182504111066201E-4</v>
      </c>
      <c r="E259" s="82">
        <f t="shared" si="19"/>
        <v>8.8693876922455871E-4</v>
      </c>
      <c r="F259" s="82">
        <f t="shared" si="20"/>
        <v>3.8438228690343091E-5</v>
      </c>
      <c r="G259" s="80"/>
      <c r="H259" s="8"/>
      <c r="I259" s="8"/>
      <c r="J259" s="8"/>
      <c r="K259" s="8"/>
    </row>
    <row r="260" spans="1:11">
      <c r="A260" s="78"/>
      <c r="B260" s="82">
        <f t="shared" si="16"/>
        <v>6.0139424712920815E-4</v>
      </c>
      <c r="C260" s="83">
        <f t="shared" si="17"/>
        <v>2.8453987628204293E-5</v>
      </c>
      <c r="D260" s="82">
        <f t="shared" si="18"/>
        <v>8.1697519888292191E-4</v>
      </c>
      <c r="E260" s="82">
        <f t="shared" si="19"/>
        <v>9.8687336124261447E-4</v>
      </c>
      <c r="F260" s="82">
        <f t="shared" si="20"/>
        <v>3.8653848640108474E-5</v>
      </c>
      <c r="G260" s="80"/>
      <c r="H260" s="8"/>
      <c r="I260" s="8"/>
      <c r="J260" s="8"/>
      <c r="K260" s="8"/>
    </row>
    <row r="261" spans="1:11">
      <c r="A261" s="78"/>
      <c r="B261" s="82">
        <f t="shared" si="16"/>
        <v>1.7370866033567737E-3</v>
      </c>
      <c r="C261" s="83">
        <f t="shared" si="17"/>
        <v>7.128236484281213E-5</v>
      </c>
      <c r="D261" s="82">
        <f t="shared" si="18"/>
        <v>1.9525852734648805E-3</v>
      </c>
      <c r="E261" s="82">
        <f t="shared" si="19"/>
        <v>1.9516480325336173E-3</v>
      </c>
      <c r="F261" s="82">
        <f t="shared" si="20"/>
        <v>8.0125478822335388E-5</v>
      </c>
      <c r="G261" s="80"/>
      <c r="H261" s="8"/>
      <c r="I261" s="8"/>
      <c r="J261" s="8"/>
      <c r="K261" s="8"/>
    </row>
    <row r="262" spans="1:11">
      <c r="A262" s="78"/>
      <c r="B262" s="82">
        <f t="shared" si="16"/>
        <v>7.1831254315316197E-3</v>
      </c>
      <c r="C262" s="83">
        <f t="shared" si="17"/>
        <v>2.081948115562774E-4</v>
      </c>
      <c r="D262" s="82">
        <f t="shared" si="18"/>
        <v>7.4015808547698986E-3</v>
      </c>
      <c r="E262" s="82">
        <f t="shared" si="19"/>
        <v>6.7816984581829196E-3</v>
      </c>
      <c r="F262" s="82">
        <f t="shared" si="20"/>
        <v>2.1452649629547074E-4</v>
      </c>
      <c r="G262" s="80"/>
      <c r="H262" s="8"/>
      <c r="I262" s="8"/>
      <c r="J262" s="8"/>
      <c r="K262" s="8"/>
    </row>
    <row r="263" spans="1:11">
      <c r="A263" s="78"/>
      <c r="B263" s="82">
        <f t="shared" si="16"/>
        <v>1.3568636615145968E-3</v>
      </c>
      <c r="C263" s="83">
        <f t="shared" si="17"/>
        <v>5.7156499151505854E-5</v>
      </c>
      <c r="D263" s="82">
        <f t="shared" si="18"/>
        <v>1.5405283621682613E-3</v>
      </c>
      <c r="E263" s="82">
        <f t="shared" si="19"/>
        <v>1.5552712185942113E-3</v>
      </c>
      <c r="F263" s="82">
        <f t="shared" si="20"/>
        <v>6.4893187519558099E-5</v>
      </c>
      <c r="G263" s="80"/>
      <c r="H263" s="8"/>
      <c r="I263" s="8"/>
      <c r="J263" s="8"/>
      <c r="K263" s="8"/>
    </row>
    <row r="264" spans="1:11">
      <c r="A264" s="78"/>
      <c r="B264" s="82">
        <f t="shared" si="16"/>
        <v>4.3613294230101188E-3</v>
      </c>
      <c r="C264" s="83">
        <f t="shared" si="17"/>
        <v>1.7826176606279613E-4</v>
      </c>
      <c r="D264" s="82">
        <f t="shared" si="18"/>
        <v>4.8874257151502089E-3</v>
      </c>
      <c r="E264" s="82">
        <f t="shared" si="19"/>
        <v>4.8701731023757288E-3</v>
      </c>
      <c r="F264" s="82">
        <f t="shared" si="20"/>
        <v>1.9976503835889659E-4</v>
      </c>
      <c r="G264" s="80"/>
      <c r="H264" s="8"/>
      <c r="I264" s="8"/>
      <c r="J264" s="8"/>
      <c r="K264" s="8"/>
    </row>
    <row r="265" spans="1:11">
      <c r="A265" s="78"/>
      <c r="B265" s="82">
        <f t="shared" si="16"/>
        <v>2.8732501726126481E-3</v>
      </c>
      <c r="C265" s="83">
        <f t="shared" si="17"/>
        <v>1.0107962897408913E-4</v>
      </c>
      <c r="D265" s="82">
        <f t="shared" si="18"/>
        <v>3.1979676166835548E-3</v>
      </c>
      <c r="E265" s="82">
        <f t="shared" si="19"/>
        <v>3.1650285502317142E-3</v>
      </c>
      <c r="F265" s="82">
        <f t="shared" si="20"/>
        <v>1.1250304037103563E-4</v>
      </c>
      <c r="G265" s="80"/>
      <c r="H265" s="8"/>
      <c r="I265" s="8"/>
      <c r="J265" s="8"/>
      <c r="K265" s="8"/>
    </row>
    <row r="266" spans="1:11">
      <c r="A266" s="78"/>
      <c r="B266" s="82">
        <f t="shared" si="16"/>
        <v>6.3211503797478254E-3</v>
      </c>
      <c r="C266" s="83">
        <f t="shared" si="17"/>
        <v>3.7092809241780992E-4</v>
      </c>
      <c r="D266" s="82">
        <f t="shared" si="18"/>
        <v>7.875214173235957E-3</v>
      </c>
      <c r="E266" s="82">
        <f t="shared" si="19"/>
        <v>8.7243197653942579E-3</v>
      </c>
      <c r="F266" s="82">
        <f t="shared" si="20"/>
        <v>4.6212129045672992E-4</v>
      </c>
      <c r="G266" s="80"/>
      <c r="H266" s="8"/>
      <c r="I266" s="8"/>
      <c r="J266" s="8"/>
      <c r="K266" s="8"/>
    </row>
    <row r="267" spans="1:11">
      <c r="A267" s="78"/>
      <c r="B267" s="82">
        <f t="shared" si="16"/>
        <v>1.7646180865107481E-3</v>
      </c>
      <c r="C267" s="83">
        <f t="shared" si="17"/>
        <v>9.7512427661236174E-5</v>
      </c>
      <c r="D267" s="82">
        <f t="shared" si="18"/>
        <v>2.1567579222997956E-3</v>
      </c>
      <c r="E267" s="82">
        <f t="shared" si="19"/>
        <v>2.3439860775346408E-3</v>
      </c>
      <c r="F267" s="82">
        <f t="shared" si="20"/>
        <v>1.1918199325323297E-4</v>
      </c>
      <c r="G267" s="80"/>
      <c r="H267" s="8"/>
      <c r="I267" s="8"/>
      <c r="J267" s="8"/>
      <c r="K267" s="8"/>
    </row>
    <row r="268" spans="1:11">
      <c r="A268" s="78"/>
      <c r="B268" s="82">
        <f t="shared" si="16"/>
        <v>5.4650942233196132E-4</v>
      </c>
      <c r="C268" s="83">
        <f t="shared" si="17"/>
        <v>2.2789760127171887E-5</v>
      </c>
      <c r="D268" s="82">
        <f t="shared" si="18"/>
        <v>6.4704793428045854E-4</v>
      </c>
      <c r="E268" s="82">
        <f t="shared" si="19"/>
        <v>6.8120559473112388E-4</v>
      </c>
      <c r="F268" s="82">
        <f t="shared" si="20"/>
        <v>2.6982274431998095E-5</v>
      </c>
      <c r="G268" s="80"/>
      <c r="H268" s="8"/>
      <c r="I268" s="8"/>
      <c r="J268" s="8"/>
      <c r="K268" s="8"/>
    </row>
    <row r="269" spans="1:11">
      <c r="A269" s="78"/>
      <c r="B269" s="82">
        <f t="shared" si="16"/>
        <v>5.7465003452252961E-3</v>
      </c>
      <c r="C269" s="83">
        <f t="shared" si="17"/>
        <v>3.4931172875494277E-4</v>
      </c>
      <c r="D269" s="82">
        <f t="shared" si="18"/>
        <v>5.2067061723948807E-3</v>
      </c>
      <c r="E269" s="82">
        <f t="shared" si="19"/>
        <v>4.194939028975107E-3</v>
      </c>
      <c r="F269" s="82">
        <f t="shared" si="20"/>
        <v>3.1649933436608553E-4</v>
      </c>
      <c r="G269" s="80"/>
      <c r="H269" s="8"/>
      <c r="I269" s="8"/>
      <c r="J269" s="8"/>
      <c r="K269" s="8"/>
    </row>
    <row r="270" spans="1:11">
      <c r="A270" s="78"/>
      <c r="B270" s="82">
        <f t="shared" si="16"/>
        <v>4.3098752589189717E-3</v>
      </c>
      <c r="C270" s="83">
        <f t="shared" si="17"/>
        <v>1.8262903771174694E-4</v>
      </c>
      <c r="D270" s="82">
        <f t="shared" si="18"/>
        <v>4.7811990837791649E-3</v>
      </c>
      <c r="E270" s="82">
        <f t="shared" si="19"/>
        <v>4.716413836193957E-3</v>
      </c>
      <c r="F270" s="82">
        <f t="shared" si="20"/>
        <v>2.0260117412258761E-4</v>
      </c>
      <c r="G270" s="80"/>
      <c r="H270" s="8"/>
      <c r="I270" s="8"/>
      <c r="J270" s="8"/>
      <c r="K270" s="8"/>
    </row>
    <row r="271" spans="1:11">
      <c r="A271" s="78"/>
      <c r="B271" s="82">
        <f t="shared" si="16"/>
        <v>4.2675178048743158E-3</v>
      </c>
      <c r="C271" s="83">
        <f t="shared" si="17"/>
        <v>2.4277300414591717E-4</v>
      </c>
      <c r="D271" s="82">
        <f t="shared" si="18"/>
        <v>4.4845530386183816E-3</v>
      </c>
      <c r="E271" s="82">
        <f t="shared" si="19"/>
        <v>4.1905008958761742E-3</v>
      </c>
      <c r="F271" s="82">
        <f t="shared" si="20"/>
        <v>2.5511982918818783E-4</v>
      </c>
      <c r="G271" s="80"/>
      <c r="H271" s="8"/>
      <c r="I271" s="8"/>
      <c r="J271" s="8"/>
      <c r="K271" s="8"/>
    </row>
    <row r="272" spans="1:11">
      <c r="A272" s="78"/>
      <c r="B272" s="82">
        <f t="shared" si="16"/>
        <v>3.0486218701482335E-3</v>
      </c>
      <c r="C272" s="83">
        <f t="shared" si="17"/>
        <v>1.7441291822313081E-4</v>
      </c>
      <c r="D272" s="82">
        <f t="shared" si="18"/>
        <v>3.3145781892068228E-3</v>
      </c>
      <c r="E272" s="82">
        <f t="shared" si="19"/>
        <v>3.2044679017613721E-3</v>
      </c>
      <c r="F272" s="82">
        <f t="shared" si="20"/>
        <v>1.8962838924664453E-4</v>
      </c>
      <c r="G272" s="80"/>
      <c r="H272" s="8"/>
      <c r="I272" s="8"/>
      <c r="J272" s="8"/>
      <c r="K272" s="8"/>
    </row>
    <row r="273" spans="1:11">
      <c r="A273" s="78"/>
      <c r="B273" s="82">
        <f t="shared" si="16"/>
        <v>4.2811427571928457E-3</v>
      </c>
      <c r="C273" s="83">
        <f t="shared" si="17"/>
        <v>1.9111607390801468E-4</v>
      </c>
      <c r="D273" s="82">
        <f t="shared" si="18"/>
        <v>4.7991069915577058E-3</v>
      </c>
      <c r="E273" s="82">
        <f t="shared" si="19"/>
        <v>4.7837018581148062E-3</v>
      </c>
      <c r="F273" s="82">
        <f t="shared" si="20"/>
        <v>2.1423870646453602E-4</v>
      </c>
      <c r="G273" s="80"/>
      <c r="H273" s="8"/>
      <c r="I273" s="8"/>
      <c r="J273" s="8"/>
      <c r="K273" s="8"/>
    </row>
    <row r="274" spans="1:11">
      <c r="A274" s="78"/>
      <c r="B274" s="82">
        <f t="shared" si="16"/>
        <v>1.2318140675021492E-3</v>
      </c>
      <c r="C274" s="83">
        <f t="shared" si="17"/>
        <v>6.8541554946123119E-5</v>
      </c>
      <c r="D274" s="82">
        <f t="shared" si="18"/>
        <v>1.4589232368475082E-3</v>
      </c>
      <c r="E274" s="82">
        <f t="shared" si="19"/>
        <v>1.5364650068859533E-3</v>
      </c>
      <c r="F274" s="82">
        <f t="shared" si="20"/>
        <v>8.1178539715276324E-5</v>
      </c>
      <c r="G274" s="80"/>
      <c r="H274" s="8"/>
      <c r="I274" s="8"/>
      <c r="J274" s="8"/>
      <c r="K274" s="8"/>
    </row>
    <row r="275" spans="1:11">
      <c r="A275" s="78"/>
      <c r="B275" s="82">
        <f t="shared" si="16"/>
        <v>6.5846848855798579E-4</v>
      </c>
      <c r="C275" s="83">
        <f t="shared" si="17"/>
        <v>2.7658216640646234E-5</v>
      </c>
      <c r="D275" s="82">
        <f t="shared" si="18"/>
        <v>7.7621939146555092E-4</v>
      </c>
      <c r="E275" s="82">
        <f t="shared" si="19"/>
        <v>8.136486905220197E-4</v>
      </c>
      <c r="F275" s="82">
        <f t="shared" si="20"/>
        <v>3.2604208801002043E-5</v>
      </c>
      <c r="G275" s="80"/>
      <c r="H275" s="8"/>
      <c r="I275" s="8"/>
      <c r="J275" s="8"/>
      <c r="K275" s="8"/>
    </row>
    <row r="276" spans="1:11">
      <c r="A276" s="78"/>
      <c r="B276" s="82">
        <f t="shared" si="16"/>
        <v>4.3098752589189717E-3</v>
      </c>
      <c r="C276" s="83">
        <f t="shared" si="17"/>
        <v>2.1647323661845995E-4</v>
      </c>
      <c r="D276" s="82">
        <f t="shared" si="18"/>
        <v>4.7373833407436698E-3</v>
      </c>
      <c r="E276" s="82">
        <f t="shared" si="19"/>
        <v>4.6303658510762702E-3</v>
      </c>
      <c r="F276" s="82">
        <f t="shared" si="20"/>
        <v>2.3794579732926675E-4</v>
      </c>
      <c r="G276" s="80"/>
      <c r="H276" s="8"/>
      <c r="I276" s="8"/>
      <c r="J276" s="8"/>
      <c r="K276" s="8"/>
    </row>
    <row r="277" spans="1:11">
      <c r="A277" s="78"/>
      <c r="B277" s="82">
        <f t="shared" si="16"/>
        <v>5.5660257553831506E-3</v>
      </c>
      <c r="C277" s="83">
        <f t="shared" si="17"/>
        <v>3.2314841434180722E-4</v>
      </c>
      <c r="D277" s="82">
        <f t="shared" si="18"/>
        <v>4.1601513707668503E-3</v>
      </c>
      <c r="E277" s="82">
        <f t="shared" si="19"/>
        <v>2.7648782025253564E-3</v>
      </c>
      <c r="F277" s="82">
        <f t="shared" si="20"/>
        <v>2.4152714665127563E-4</v>
      </c>
      <c r="G277" s="80"/>
      <c r="H277" s="8"/>
      <c r="I277" s="8"/>
      <c r="J277" s="8"/>
      <c r="K277" s="8"/>
    </row>
    <row r="278" spans="1:11">
      <c r="A278" s="78"/>
      <c r="B278" s="82">
        <f t="shared" si="16"/>
        <v>6.0797973652483631E-5</v>
      </c>
      <c r="C278" s="83">
        <f t="shared" si="17"/>
        <v>2.9245414482519348E-6</v>
      </c>
      <c r="D278" s="82">
        <f t="shared" si="18"/>
        <v>5.8157593473359749E-5</v>
      </c>
      <c r="E278" s="82">
        <f t="shared" si="19"/>
        <v>4.9468267432505064E-5</v>
      </c>
      <c r="F278" s="82">
        <f t="shared" si="20"/>
        <v>2.7975322601311525E-6</v>
      </c>
      <c r="G278" s="80"/>
      <c r="H278" s="8"/>
      <c r="I278" s="8"/>
      <c r="J278" s="8"/>
      <c r="K278" s="8"/>
    </row>
    <row r="279" spans="1:11">
      <c r="A279" s="78"/>
      <c r="B279" s="82">
        <f t="shared" si="16"/>
        <v>2.0708146109057329E-3</v>
      </c>
      <c r="C279" s="83">
        <f t="shared" si="17"/>
        <v>8.2739205172271596E-5</v>
      </c>
      <c r="D279" s="82">
        <f t="shared" si="18"/>
        <v>2.312763647445335E-3</v>
      </c>
      <c r="E279" s="82">
        <f t="shared" si="19"/>
        <v>2.2968055782779623E-3</v>
      </c>
      <c r="F279" s="82">
        <f t="shared" si="20"/>
        <v>9.2406256423531506E-5</v>
      </c>
      <c r="G279" s="80"/>
      <c r="H279" s="8"/>
      <c r="I279" s="8"/>
      <c r="J279" s="8"/>
      <c r="K279" s="8"/>
    </row>
    <row r="280" spans="1:11">
      <c r="A280" s="78"/>
      <c r="B280" s="82">
        <f t="shared" si="16"/>
        <v>5.628216143996184E-3</v>
      </c>
      <c r="C280" s="83">
        <f t="shared" si="17"/>
        <v>3.2848570760173713E-4</v>
      </c>
      <c r="D280" s="82">
        <f t="shared" si="18"/>
        <v>6.5125253465677909E-3</v>
      </c>
      <c r="E280" s="82">
        <f t="shared" si="19"/>
        <v>6.7008675795905319E-3</v>
      </c>
      <c r="F280" s="82">
        <f t="shared" si="20"/>
        <v>3.8009760855108683E-4</v>
      </c>
      <c r="G280" s="80"/>
      <c r="H280" s="8"/>
      <c r="I280" s="8"/>
      <c r="J280" s="8"/>
      <c r="K280" s="8"/>
    </row>
    <row r="281" spans="1:11">
      <c r="A281" s="78"/>
      <c r="B281" s="82">
        <f t="shared" si="16"/>
        <v>4.3098752589189717E-3</v>
      </c>
      <c r="C281" s="83">
        <f t="shared" si="17"/>
        <v>2.1687366484453223E-4</v>
      </c>
      <c r="D281" s="82">
        <f t="shared" si="18"/>
        <v>4.8914170037600438E-3</v>
      </c>
      <c r="E281" s="82">
        <f t="shared" si="19"/>
        <v>4.9363691260245991E-3</v>
      </c>
      <c r="F281" s="82">
        <f t="shared" si="20"/>
        <v>2.4613694553990011E-4</v>
      </c>
      <c r="G281" s="80"/>
      <c r="H281" s="8"/>
      <c r="I281" s="8"/>
      <c r="J281" s="8"/>
      <c r="K281" s="8"/>
    </row>
    <row r="282" spans="1:11">
      <c r="A282" s="78"/>
      <c r="B282" s="82">
        <f t="shared" si="16"/>
        <v>3.9246356222754136E-3</v>
      </c>
      <c r="C282" s="83">
        <f t="shared" si="17"/>
        <v>2.0161323539584952E-4</v>
      </c>
      <c r="D282" s="82">
        <f t="shared" si="18"/>
        <v>4.3217870215780142E-3</v>
      </c>
      <c r="E282" s="82">
        <f t="shared" si="19"/>
        <v>4.2318506336589757E-3</v>
      </c>
      <c r="F282" s="82">
        <f t="shared" si="20"/>
        <v>2.2201537874411861E-4</v>
      </c>
      <c r="G282" s="80"/>
      <c r="H282" s="8"/>
      <c r="I282" s="8"/>
      <c r="J282" s="8"/>
      <c r="K282" s="8"/>
    </row>
    <row r="283" spans="1:11">
      <c r="A283" s="78"/>
      <c r="B283" s="82">
        <f t="shared" si="16"/>
        <v>4.3098752589189717E-3</v>
      </c>
      <c r="C283" s="83">
        <f t="shared" si="17"/>
        <v>1.3841654146693323E-4</v>
      </c>
      <c r="D283" s="82">
        <f t="shared" si="18"/>
        <v>4.520437250227217E-3</v>
      </c>
      <c r="E283" s="82">
        <f t="shared" si="19"/>
        <v>4.215985801424414E-3</v>
      </c>
      <c r="F283" s="82">
        <f t="shared" si="20"/>
        <v>1.4517897908991636E-4</v>
      </c>
      <c r="G283" s="80"/>
      <c r="H283" s="8"/>
      <c r="I283" s="8"/>
      <c r="J283" s="8"/>
      <c r="K283" s="8"/>
    </row>
    <row r="284" spans="1:11">
      <c r="A284" s="78"/>
      <c r="B284" s="82">
        <f t="shared" si="16"/>
        <v>9.0171210167102733E-4</v>
      </c>
      <c r="C284" s="83">
        <f t="shared" si="17"/>
        <v>4.1256123589262718E-5</v>
      </c>
      <c r="D284" s="82">
        <f t="shared" si="18"/>
        <v>1.1896886018423105E-3</v>
      </c>
      <c r="E284" s="82">
        <f t="shared" si="19"/>
        <v>1.3957307707953802E-3</v>
      </c>
      <c r="F284" s="82">
        <f t="shared" si="20"/>
        <v>5.4431941081179091E-5</v>
      </c>
      <c r="G284" s="80"/>
      <c r="H284" s="8"/>
      <c r="I284" s="8"/>
      <c r="J284" s="8"/>
      <c r="K284" s="8"/>
    </row>
    <row r="285" spans="1:11">
      <c r="A285" s="78"/>
      <c r="B285" s="82">
        <f t="shared" si="16"/>
        <v>3.4479002071351773E-3</v>
      </c>
      <c r="C285" s="83">
        <f t="shared" si="17"/>
        <v>1.4766278263265983E-4</v>
      </c>
      <c r="D285" s="82">
        <f t="shared" si="18"/>
        <v>3.9363598243162311E-3</v>
      </c>
      <c r="E285" s="82">
        <f t="shared" si="19"/>
        <v>3.996113766449351E-3</v>
      </c>
      <c r="F285" s="82">
        <f t="shared" si="20"/>
        <v>1.6858198038884081E-4</v>
      </c>
      <c r="G285" s="80"/>
      <c r="H285" s="8"/>
      <c r="I285" s="8"/>
      <c r="J285" s="8"/>
      <c r="K285" s="8"/>
    </row>
    <row r="286" spans="1:11">
      <c r="A286" s="78"/>
      <c r="B286" s="82">
        <f t="shared" si="16"/>
        <v>7.1575879839974382E-3</v>
      </c>
      <c r="C286" s="83">
        <f t="shared" si="17"/>
        <v>1.9971389184009921E-4</v>
      </c>
      <c r="D286" s="82">
        <f t="shared" si="18"/>
        <v>7.9226262517123145E-3</v>
      </c>
      <c r="E286" s="82">
        <f t="shared" si="19"/>
        <v>7.797844888247845E-3</v>
      </c>
      <c r="F286" s="82">
        <f t="shared" si="20"/>
        <v>2.2106029654983422E-4</v>
      </c>
      <c r="G286" s="80"/>
      <c r="H286" s="8"/>
      <c r="I286" s="8"/>
      <c r="J286" s="8"/>
      <c r="K286" s="8"/>
    </row>
    <row r="287" spans="1:11">
      <c r="A287" s="78"/>
      <c r="B287" s="82">
        <f t="shared" si="16"/>
        <v>5.4950105041168557E-3</v>
      </c>
      <c r="C287" s="83">
        <f t="shared" si="17"/>
        <v>2.898003498179398E-4</v>
      </c>
      <c r="D287" s="82">
        <f t="shared" si="18"/>
        <v>5.9310658759735204E-3</v>
      </c>
      <c r="E287" s="82">
        <f t="shared" si="19"/>
        <v>5.6924590957831058E-3</v>
      </c>
      <c r="F287" s="82">
        <f t="shared" si="20"/>
        <v>3.1279739399271938E-4</v>
      </c>
      <c r="G287" s="80"/>
      <c r="H287" s="8"/>
      <c r="I287" s="8"/>
      <c r="J287" s="8"/>
      <c r="K287" s="8"/>
    </row>
    <row r="288" spans="1:11">
      <c r="A288" s="78"/>
      <c r="B288" s="82">
        <f t="shared" si="16"/>
        <v>2.2986001380901184E-3</v>
      </c>
      <c r="C288" s="83">
        <f t="shared" si="17"/>
        <v>1.0296356639387708E-4</v>
      </c>
      <c r="D288" s="82">
        <f t="shared" si="18"/>
        <v>2.5930906378286551E-3</v>
      </c>
      <c r="E288" s="82">
        <f t="shared" si="19"/>
        <v>2.601207011525059E-3</v>
      </c>
      <c r="F288" s="82">
        <f t="shared" si="20"/>
        <v>1.1615498303904832E-4</v>
      </c>
      <c r="G288" s="80"/>
      <c r="H288" s="8"/>
      <c r="I288" s="8"/>
      <c r="J288" s="8"/>
      <c r="K288" s="8"/>
    </row>
    <row r="289" spans="1:11">
      <c r="A289" s="78"/>
      <c r="B289" s="82">
        <f t="shared" si="16"/>
        <v>8.039296517966737E-4</v>
      </c>
      <c r="C289" s="83">
        <f t="shared" si="17"/>
        <v>4.4036390741410978E-5</v>
      </c>
      <c r="D289" s="82">
        <f t="shared" si="18"/>
        <v>8.9427864881230085E-4</v>
      </c>
      <c r="E289" s="82">
        <f t="shared" si="19"/>
        <v>8.8456678268619931E-4</v>
      </c>
      <c r="F289" s="82">
        <f t="shared" si="20"/>
        <v>4.8985385627696116E-5</v>
      </c>
      <c r="G289" s="80"/>
      <c r="H289" s="8"/>
      <c r="I289" s="8"/>
      <c r="J289" s="8"/>
      <c r="K289" s="8"/>
    </row>
    <row r="290" spans="1:11">
      <c r="A290" s="78"/>
      <c r="B290" s="82">
        <f t="shared" ref="B290:B321" si="21">G99/$G$191</f>
        <v>1.3153337035196537E-3</v>
      </c>
      <c r="C290" s="83">
        <f t="shared" ref="C290:C321" si="22">B290*(H99/100)</f>
        <v>5.9512268733158741E-5</v>
      </c>
      <c r="D290" s="82">
        <f t="shared" ref="D290:D321" si="23">I99/$I$191</f>
        <v>1.7706864393526715E-3</v>
      </c>
      <c r="E290" s="82">
        <f t="shared" ref="E290:E321" si="24">D290*(F99/100)</f>
        <v>2.1195824953627218E-3</v>
      </c>
      <c r="F290" s="82">
        <f t="shared" ref="F290:F321" si="25">D290*(H99/100)</f>
        <v>8.0114701644867897E-5</v>
      </c>
      <c r="G290" s="80"/>
      <c r="H290" s="8"/>
      <c r="I290" s="8"/>
      <c r="J290" s="8"/>
      <c r="K290" s="8"/>
    </row>
    <row r="291" spans="1:11">
      <c r="A291" s="78"/>
      <c r="B291" s="82">
        <f t="shared" si="21"/>
        <v>5.2605188110295929E-4</v>
      </c>
      <c r="C291" s="83">
        <f t="shared" si="22"/>
        <v>2.5878552460941434E-5</v>
      </c>
      <c r="D291" s="82">
        <f t="shared" si="23"/>
        <v>6.5949999472483052E-4</v>
      </c>
      <c r="E291" s="82">
        <f t="shared" si="24"/>
        <v>7.3519740411934654E-4</v>
      </c>
      <c r="F291" s="82">
        <f t="shared" si="25"/>
        <v>3.2443387856903754E-5</v>
      </c>
      <c r="G291" s="80"/>
      <c r="H291" s="8"/>
      <c r="I291" s="8"/>
      <c r="J291" s="8"/>
      <c r="K291" s="8"/>
    </row>
    <row r="292" spans="1:11">
      <c r="A292" s="78"/>
      <c r="B292" s="82">
        <f t="shared" si="21"/>
        <v>1.8212268614115625E-3</v>
      </c>
      <c r="C292" s="83">
        <f t="shared" si="22"/>
        <v>1.0002113079911127E-4</v>
      </c>
      <c r="D292" s="82">
        <f t="shared" si="23"/>
        <v>1.9730822914988829E-3</v>
      </c>
      <c r="E292" s="82">
        <f t="shared" si="24"/>
        <v>1.9007688255154487E-3</v>
      </c>
      <c r="F292" s="82">
        <f t="shared" si="25"/>
        <v>1.0836097695289959E-4</v>
      </c>
      <c r="G292" s="80"/>
      <c r="H292" s="8"/>
      <c r="I292" s="8"/>
      <c r="J292" s="8"/>
      <c r="K292" s="8"/>
    </row>
    <row r="293" spans="1:11">
      <c r="A293" s="78"/>
      <c r="B293" s="82">
        <f t="shared" si="21"/>
        <v>2.3012147957471958E-3</v>
      </c>
      <c r="C293" s="83">
        <f t="shared" si="22"/>
        <v>1.2614097817936583E-4</v>
      </c>
      <c r="D293" s="82">
        <f t="shared" si="23"/>
        <v>2.7222541135043907E-3</v>
      </c>
      <c r="E293" s="82">
        <f t="shared" si="24"/>
        <v>2.8635391019952686E-3</v>
      </c>
      <c r="F293" s="82">
        <f t="shared" si="25"/>
        <v>1.4922022810076252E-4</v>
      </c>
      <c r="G293" s="80"/>
      <c r="H293" s="8"/>
      <c r="I293" s="8"/>
      <c r="J293" s="8"/>
      <c r="K293" s="8"/>
    </row>
    <row r="294" spans="1:11">
      <c r="A294" s="78"/>
      <c r="B294" s="82">
        <f t="shared" si="21"/>
        <v>1.4682997962092057E-3</v>
      </c>
      <c r="C294" s="83">
        <f t="shared" si="22"/>
        <v>7.37518702020134E-5</v>
      </c>
      <c r="D294" s="82">
        <f t="shared" si="23"/>
        <v>1.7826356847413407E-3</v>
      </c>
      <c r="E294" s="82">
        <f t="shared" si="24"/>
        <v>1.9244800061762092E-3</v>
      </c>
      <c r="F294" s="82">
        <f t="shared" si="25"/>
        <v>8.9540784503240649E-5</v>
      </c>
      <c r="G294" s="80"/>
      <c r="H294" s="8"/>
      <c r="I294" s="8"/>
      <c r="J294" s="8"/>
      <c r="K294" s="8"/>
    </row>
    <row r="295" spans="1:11">
      <c r="A295" s="78"/>
      <c r="B295" s="82">
        <f t="shared" si="21"/>
        <v>2.5170246162121318E-4</v>
      </c>
      <c r="C295" s="83">
        <f t="shared" si="22"/>
        <v>1.0415168935285929E-5</v>
      </c>
      <c r="D295" s="82">
        <f t="shared" si="23"/>
        <v>2.9941652002141671E-4</v>
      </c>
      <c r="E295" s="82">
        <f t="shared" si="24"/>
        <v>3.1671381238305399E-4</v>
      </c>
      <c r="F295" s="82">
        <f t="shared" si="25"/>
        <v>1.2389523797075395E-5</v>
      </c>
      <c r="G295" s="80"/>
      <c r="H295" s="8"/>
      <c r="I295" s="8"/>
      <c r="J295" s="8"/>
      <c r="K295" s="8"/>
    </row>
    <row r="296" spans="1:11">
      <c r="A296" s="78"/>
      <c r="B296" s="82">
        <f t="shared" si="21"/>
        <v>4.3098752589189717E-3</v>
      </c>
      <c r="C296" s="83">
        <f t="shared" si="22"/>
        <v>1.6866268135417017E-4</v>
      </c>
      <c r="D296" s="82">
        <f t="shared" si="23"/>
        <v>3.7682508385371277E-3</v>
      </c>
      <c r="E296" s="82">
        <f t="shared" si="24"/>
        <v>2.9296642969290749E-3</v>
      </c>
      <c r="F296" s="82">
        <f t="shared" si="25"/>
        <v>1.4746674840008893E-4</v>
      </c>
      <c r="G296" s="80"/>
      <c r="H296" s="8"/>
      <c r="I296" s="8"/>
      <c r="J296" s="8"/>
      <c r="K296" s="8"/>
    </row>
    <row r="297" spans="1:11">
      <c r="A297" s="78"/>
      <c r="B297" s="82">
        <f t="shared" si="21"/>
        <v>9.8214586700314573E-4</v>
      </c>
      <c r="C297" s="83">
        <f t="shared" si="22"/>
        <v>5.6248437841877515E-5</v>
      </c>
      <c r="D297" s="82">
        <f t="shared" si="23"/>
        <v>1.0579189836719455E-3</v>
      </c>
      <c r="E297" s="82">
        <f t="shared" si="24"/>
        <v>1.0132853817508261E-3</v>
      </c>
      <c r="F297" s="82">
        <f t="shared" si="25"/>
        <v>6.0588037066619424E-5</v>
      </c>
      <c r="G297" s="80"/>
      <c r="H297" s="8"/>
      <c r="I297" s="8"/>
      <c r="J297" s="8"/>
      <c r="K297" s="8"/>
    </row>
    <row r="298" spans="1:11">
      <c r="A298" s="78"/>
      <c r="B298" s="82">
        <f t="shared" si="21"/>
        <v>9.9256427212903917E-4</v>
      </c>
      <c r="C298" s="83">
        <f t="shared" si="22"/>
        <v>5.9099151051454979E-5</v>
      </c>
      <c r="D298" s="82">
        <f t="shared" si="23"/>
        <v>1.0114318182424481E-3</v>
      </c>
      <c r="E298" s="82">
        <f t="shared" si="24"/>
        <v>9.164684848276647E-4</v>
      </c>
      <c r="F298" s="82">
        <f t="shared" si="25"/>
        <v>6.0222560375200704E-5</v>
      </c>
      <c r="G298" s="80"/>
      <c r="H298" s="8"/>
      <c r="I298" s="8"/>
      <c r="J298" s="8"/>
      <c r="K298" s="8"/>
    </row>
    <row r="299" spans="1:11">
      <c r="A299" s="78"/>
      <c r="B299" s="82">
        <f t="shared" si="21"/>
        <v>9.9569094296687623E-3</v>
      </c>
      <c r="C299" s="83">
        <f t="shared" si="22"/>
        <v>5.744683365991978E-4</v>
      </c>
      <c r="D299" s="82">
        <f t="shared" si="23"/>
        <v>9.4249473719048623E-3</v>
      </c>
      <c r="E299" s="82">
        <f t="shared" si="24"/>
        <v>7.9329782029323222E-3</v>
      </c>
      <c r="F299" s="82">
        <f t="shared" si="25"/>
        <v>5.4377654808629569E-4</v>
      </c>
      <c r="G299" s="80"/>
      <c r="H299" s="8"/>
      <c r="I299" s="8"/>
      <c r="J299" s="8"/>
      <c r="K299" s="8"/>
    </row>
    <row r="300" spans="1:11">
      <c r="A300" s="78"/>
      <c r="B300" s="82">
        <f t="shared" si="21"/>
        <v>8.2635249614374277E-4</v>
      </c>
      <c r="C300" s="83">
        <f t="shared" si="22"/>
        <v>4.0837292610566855E-5</v>
      </c>
      <c r="D300" s="82">
        <f t="shared" si="23"/>
        <v>1.0328300806146976E-3</v>
      </c>
      <c r="E300" s="82">
        <f t="shared" si="24"/>
        <v>1.1478770232943687E-3</v>
      </c>
      <c r="F300" s="82">
        <f t="shared" si="25"/>
        <v>5.1041153038062543E-5</v>
      </c>
      <c r="G300" s="80"/>
      <c r="H300" s="8"/>
      <c r="I300" s="8"/>
      <c r="J300" s="8"/>
      <c r="K300" s="8"/>
    </row>
    <row r="301" spans="1:11">
      <c r="A301" s="78"/>
      <c r="B301" s="82">
        <f t="shared" si="21"/>
        <v>1.6901549350373188E-3</v>
      </c>
      <c r="C301" s="83">
        <f t="shared" si="22"/>
        <v>9.4790996061213265E-5</v>
      </c>
      <c r="D301" s="82">
        <f t="shared" si="23"/>
        <v>2.0251474128575152E-3</v>
      </c>
      <c r="E301" s="82">
        <f t="shared" si="24"/>
        <v>2.1576933110290398E-3</v>
      </c>
      <c r="F301" s="82">
        <f t="shared" si="25"/>
        <v>1.1357878290093821E-4</v>
      </c>
      <c r="G301" s="80"/>
      <c r="H301" s="8"/>
      <c r="I301" s="8"/>
      <c r="J301" s="8"/>
      <c r="K301" s="8"/>
    </row>
    <row r="302" spans="1:11">
      <c r="A302" s="78"/>
      <c r="B302" s="82">
        <f t="shared" si="21"/>
        <v>2.1052878664767393E-3</v>
      </c>
      <c r="C302" s="83">
        <f t="shared" si="22"/>
        <v>1.1212017894423942E-4</v>
      </c>
      <c r="D302" s="82">
        <f t="shared" si="23"/>
        <v>2.6404671531731652E-3</v>
      </c>
      <c r="E302" s="82">
        <f t="shared" si="24"/>
        <v>2.9447809925763728E-3</v>
      </c>
      <c r="F302" s="82">
        <f t="shared" si="25"/>
        <v>1.406219331922572E-4</v>
      </c>
      <c r="G302" s="80"/>
      <c r="H302" s="8"/>
      <c r="I302" s="8"/>
      <c r="J302" s="8"/>
      <c r="K302" s="8"/>
    </row>
    <row r="303" spans="1:11">
      <c r="A303" s="78"/>
      <c r="B303" s="82">
        <f t="shared" si="21"/>
        <v>2.800556943245548E-4</v>
      </c>
      <c r="C303" s="83">
        <f t="shared" si="22"/>
        <v>1.281822765965212E-5</v>
      </c>
      <c r="D303" s="82">
        <f t="shared" si="23"/>
        <v>3.5466821774366808E-4</v>
      </c>
      <c r="E303" s="82">
        <f t="shared" si="24"/>
        <v>3.9939542668332206E-4</v>
      </c>
      <c r="F303" s="82">
        <f t="shared" si="25"/>
        <v>1.6233263778642628E-5</v>
      </c>
      <c r="G303" s="80"/>
      <c r="H303" s="8"/>
      <c r="I303" s="8"/>
      <c r="J303" s="8"/>
      <c r="K303" s="8"/>
    </row>
    <row r="304" spans="1:11">
      <c r="A304" s="78"/>
      <c r="B304" s="82">
        <f t="shared" si="21"/>
        <v>1.8703479463625485E-3</v>
      </c>
      <c r="C304" s="83">
        <f t="shared" si="22"/>
        <v>1.0880353752742002E-4</v>
      </c>
      <c r="D304" s="82">
        <f t="shared" si="23"/>
        <v>2.0678200192488366E-3</v>
      </c>
      <c r="E304" s="82">
        <f t="shared" si="24"/>
        <v>2.0328531827233389E-3</v>
      </c>
      <c r="F304" s="82">
        <f t="shared" si="25"/>
        <v>1.2029105787607277E-4</v>
      </c>
      <c r="G304" s="80"/>
      <c r="H304" s="8"/>
      <c r="I304" s="8"/>
      <c r="J304" s="8"/>
      <c r="K304" s="8"/>
    </row>
    <row r="305" spans="1:11">
      <c r="A305" s="78"/>
      <c r="B305" s="82">
        <f t="shared" si="21"/>
        <v>3.6918678792917173E-3</v>
      </c>
      <c r="C305" s="83">
        <f t="shared" si="22"/>
        <v>2.0026579435430421E-4</v>
      </c>
      <c r="D305" s="82">
        <f t="shared" si="23"/>
        <v>3.0804760717119419E-3</v>
      </c>
      <c r="E305" s="82">
        <f t="shared" si="24"/>
        <v>2.2855592214066751E-3</v>
      </c>
      <c r="F305" s="82">
        <f t="shared" si="25"/>
        <v>1.6710077599233405E-4</v>
      </c>
      <c r="G305" s="80"/>
      <c r="H305" s="8"/>
      <c r="I305" s="8"/>
      <c r="J305" s="8"/>
      <c r="K305" s="8"/>
    </row>
    <row r="306" spans="1:11">
      <c r="A306" s="78"/>
      <c r="B306" s="82">
        <f t="shared" si="21"/>
        <v>2.5885110805067344E-4</v>
      </c>
      <c r="C306" s="83">
        <f t="shared" si="22"/>
        <v>1.6901556283833863E-5</v>
      </c>
      <c r="D306" s="82">
        <f t="shared" si="23"/>
        <v>3.1713080926273321E-4</v>
      </c>
      <c r="E306" s="82">
        <f t="shared" si="24"/>
        <v>3.4548547491891418E-4</v>
      </c>
      <c r="F306" s="82">
        <f t="shared" si="25"/>
        <v>2.070690082208409E-5</v>
      </c>
      <c r="G306" s="80"/>
      <c r="H306" s="8"/>
      <c r="I306" s="8"/>
      <c r="J306" s="8"/>
      <c r="K306" s="8"/>
    </row>
    <row r="307" spans="1:11">
      <c r="A307" s="78"/>
      <c r="B307" s="82">
        <f t="shared" si="21"/>
        <v>3.3777067054182506E-3</v>
      </c>
      <c r="C307" s="83">
        <f t="shared" si="22"/>
        <v>1.9561281514859021E-4</v>
      </c>
      <c r="D307" s="82">
        <f t="shared" si="23"/>
        <v>3.4828996261499073E-3</v>
      </c>
      <c r="E307" s="82">
        <f t="shared" si="24"/>
        <v>3.1934706672168498E-3</v>
      </c>
      <c r="F307" s="82">
        <f t="shared" si="25"/>
        <v>2.0170484301027926E-4</v>
      </c>
      <c r="G307" s="80"/>
      <c r="H307" s="8"/>
      <c r="I307" s="8"/>
      <c r="J307" s="8"/>
      <c r="K307" s="8"/>
    </row>
    <row r="308" spans="1:11">
      <c r="A308" s="78"/>
      <c r="B308" s="82">
        <f t="shared" si="21"/>
        <v>1.9673776046916776E-3</v>
      </c>
      <c r="C308" s="83">
        <f t="shared" si="22"/>
        <v>9.8953796705918712E-5</v>
      </c>
      <c r="D308" s="82">
        <f t="shared" si="23"/>
        <v>2.2368230694652033E-3</v>
      </c>
      <c r="E308" s="82">
        <f t="shared" si="24"/>
        <v>2.2614057549986259E-3</v>
      </c>
      <c r="F308" s="82">
        <f t="shared" si="25"/>
        <v>1.1250617815061334E-4</v>
      </c>
      <c r="G308" s="80"/>
      <c r="H308" s="8"/>
      <c r="I308" s="8"/>
      <c r="J308" s="8"/>
      <c r="K308" s="8"/>
    </row>
    <row r="309" spans="1:11">
      <c r="A309" s="78"/>
      <c r="B309" s="82">
        <f t="shared" si="21"/>
        <v>3.4153175501777503E-4</v>
      </c>
      <c r="C309" s="83">
        <f t="shared" si="22"/>
        <v>1.5582065460432784E-5</v>
      </c>
      <c r="D309" s="82">
        <f t="shared" si="23"/>
        <v>4.6774724893939895E-4</v>
      </c>
      <c r="E309" s="82">
        <f t="shared" si="24"/>
        <v>5.6963195470337877E-4</v>
      </c>
      <c r="F309" s="82">
        <f t="shared" si="25"/>
        <v>2.1340528793674645E-5</v>
      </c>
      <c r="G309" s="80"/>
      <c r="H309" s="8"/>
      <c r="I309" s="8"/>
      <c r="J309" s="8"/>
      <c r="K309" s="8"/>
    </row>
    <row r="310" spans="1:11">
      <c r="A310" s="78"/>
      <c r="B310" s="82">
        <f t="shared" si="21"/>
        <v>1.7239501035675887E-3</v>
      </c>
      <c r="C310" s="83">
        <f t="shared" si="22"/>
        <v>7.039749391115046E-5</v>
      </c>
      <c r="D310" s="82">
        <f t="shared" si="23"/>
        <v>1.9384976543761056E-3</v>
      </c>
      <c r="E310" s="82">
        <f t="shared" si="24"/>
        <v>1.9382456496810365E-3</v>
      </c>
      <c r="F310" s="82">
        <f t="shared" si="25"/>
        <v>7.9158542082114917E-5</v>
      </c>
      <c r="G310" s="80"/>
      <c r="H310" s="8"/>
      <c r="I310" s="8"/>
      <c r="J310" s="8"/>
      <c r="K310" s="8"/>
    </row>
    <row r="311" spans="1:11">
      <c r="A311" s="78"/>
      <c r="B311" s="82">
        <f t="shared" si="21"/>
        <v>9.9782806644526561E-4</v>
      </c>
      <c r="C311" s="83">
        <f t="shared" si="22"/>
        <v>4.5267481103968742E-5</v>
      </c>
      <c r="D311" s="82">
        <f t="shared" si="23"/>
        <v>1.3425572052853704E-3</v>
      </c>
      <c r="E311" s="82">
        <f t="shared" si="24"/>
        <v>1.6062488659754699E-3</v>
      </c>
      <c r="F311" s="82">
        <f t="shared" si="25"/>
        <v>6.0906467722198777E-5</v>
      </c>
      <c r="G311" s="80"/>
      <c r="H311" s="8"/>
      <c r="I311" s="8"/>
      <c r="J311" s="8"/>
      <c r="K311" s="8"/>
    </row>
    <row r="312" spans="1:11">
      <c r="A312" s="78"/>
      <c r="B312" s="82">
        <f t="shared" si="21"/>
        <v>2.6158356896482807E-3</v>
      </c>
      <c r="C312" s="83">
        <f t="shared" si="22"/>
        <v>1.4853257439353186E-4</v>
      </c>
      <c r="D312" s="82">
        <f t="shared" si="23"/>
        <v>2.6473209018506379E-3</v>
      </c>
      <c r="E312" s="82">
        <f t="shared" si="24"/>
        <v>2.3823505527844073E-3</v>
      </c>
      <c r="F312" s="82">
        <f t="shared" si="25"/>
        <v>1.503203700269692E-4</v>
      </c>
      <c r="G312" s="80"/>
      <c r="H312" s="8"/>
      <c r="I312" s="8"/>
      <c r="J312" s="8"/>
      <c r="K312" s="8"/>
    </row>
    <row r="313" spans="1:11">
      <c r="A313" s="78"/>
      <c r="B313" s="82">
        <f t="shared" si="21"/>
        <v>7.1635873303578534E-4</v>
      </c>
      <c r="C313" s="83">
        <f t="shared" si="22"/>
        <v>3.7634640300572762E-5</v>
      </c>
      <c r="D313" s="82">
        <f t="shared" si="23"/>
        <v>8.8873043407893849E-4</v>
      </c>
      <c r="E313" s="82">
        <f t="shared" si="24"/>
        <v>9.8042075296286249E-4</v>
      </c>
      <c r="F313" s="82">
        <f t="shared" si="25"/>
        <v>4.6690364294144664E-5</v>
      </c>
      <c r="G313" s="80"/>
      <c r="H313" s="8"/>
      <c r="I313" s="8"/>
      <c r="J313" s="8"/>
      <c r="K313" s="8"/>
    </row>
    <row r="314" spans="1:11">
      <c r="A314" s="78"/>
      <c r="B314" s="82">
        <f t="shared" si="21"/>
        <v>1.2954335728241384E-4</v>
      </c>
      <c r="C314" s="83">
        <f t="shared" si="22"/>
        <v>3.7654990155973976E-6</v>
      </c>
      <c r="D314" s="82">
        <f t="shared" si="23"/>
        <v>1.4439918045502318E-4</v>
      </c>
      <c r="E314" s="82">
        <f t="shared" si="24"/>
        <v>1.4312557968340986E-4</v>
      </c>
      <c r="F314" s="82">
        <f t="shared" si="25"/>
        <v>4.1973203664243423E-6</v>
      </c>
      <c r="G314" s="80"/>
      <c r="H314" s="8"/>
      <c r="I314" s="8"/>
      <c r="J314" s="8"/>
      <c r="K314" s="8"/>
    </row>
    <row r="315" spans="1:11">
      <c r="A315" s="78"/>
      <c r="B315" s="82">
        <f t="shared" si="21"/>
        <v>1.7210768533949761E-2</v>
      </c>
      <c r="C315" s="83">
        <f t="shared" si="22"/>
        <v>9.796827465938583E-4</v>
      </c>
      <c r="D315" s="82">
        <f t="shared" si="23"/>
        <v>1.5135173563641566E-2</v>
      </c>
      <c r="E315" s="82">
        <f t="shared" si="24"/>
        <v>1.1835251671560796E-2</v>
      </c>
      <c r="F315" s="82">
        <f t="shared" si="25"/>
        <v>8.6153435726906899E-4</v>
      </c>
      <c r="G315" s="80"/>
      <c r="H315" s="8"/>
      <c r="I315" s="8"/>
      <c r="J315" s="8"/>
      <c r="K315" s="8"/>
    </row>
    <row r="316" spans="1:11">
      <c r="A316" s="78"/>
      <c r="B316" s="82">
        <f t="shared" si="21"/>
        <v>8.6197505178379433E-3</v>
      </c>
      <c r="C316" s="83">
        <f t="shared" si="22"/>
        <v>5.0358849605792956E-4</v>
      </c>
      <c r="D316" s="82">
        <f t="shared" si="23"/>
        <v>6.8399089127975645E-3</v>
      </c>
      <c r="E316" s="82">
        <f t="shared" si="24"/>
        <v>4.8262397288699613E-3</v>
      </c>
      <c r="F316" s="82">
        <f t="shared" si="25"/>
        <v>3.9960546833006525E-4</v>
      </c>
      <c r="G316" s="80"/>
      <c r="H316" s="8"/>
      <c r="I316" s="8"/>
      <c r="J316" s="8"/>
      <c r="K316" s="8"/>
    </row>
    <row r="317" spans="1:11">
      <c r="A317" s="78"/>
      <c r="B317" s="82">
        <f t="shared" si="21"/>
        <v>8.5467699634535828E-4</v>
      </c>
      <c r="C317" s="83">
        <f t="shared" si="22"/>
        <v>3.8457342751754097E-5</v>
      </c>
      <c r="D317" s="82">
        <f t="shared" si="23"/>
        <v>1.0942122737276328E-3</v>
      </c>
      <c r="E317" s="82">
        <f t="shared" si="24"/>
        <v>1.2456731366570118E-3</v>
      </c>
      <c r="F317" s="82">
        <f t="shared" si="25"/>
        <v>4.9235555225960293E-5</v>
      </c>
      <c r="G317" s="80"/>
      <c r="H317" s="8"/>
      <c r="I317" s="8"/>
      <c r="J317" s="8"/>
      <c r="K317" s="8"/>
    </row>
    <row r="318" spans="1:11">
      <c r="A318" s="78"/>
      <c r="B318" s="82">
        <f t="shared" si="21"/>
        <v>1.1661373150565692E-3</v>
      </c>
      <c r="C318" s="83">
        <f t="shared" si="22"/>
        <v>6.1843503795799455E-5</v>
      </c>
      <c r="D318" s="82">
        <f t="shared" si="23"/>
        <v>1.4283755680561802E-3</v>
      </c>
      <c r="E318" s="82">
        <f t="shared" si="24"/>
        <v>1.5557438174597497E-3</v>
      </c>
      <c r="F318" s="82">
        <f t="shared" si="25"/>
        <v>7.5750727400935978E-5</v>
      </c>
      <c r="G318" s="80"/>
      <c r="H318" s="8"/>
      <c r="I318" s="8"/>
      <c r="J318" s="8"/>
      <c r="K318" s="8"/>
    </row>
    <row r="319" spans="1:11">
      <c r="A319" s="78"/>
      <c r="B319" s="82">
        <f t="shared" si="21"/>
        <v>8.0526283987676596E-4</v>
      </c>
      <c r="C319" s="83">
        <f t="shared" si="22"/>
        <v>4.4650342771436039E-5</v>
      </c>
      <c r="D319" s="82">
        <f t="shared" si="23"/>
        <v>9.7478401184323616E-4</v>
      </c>
      <c r="E319" s="82">
        <f t="shared" si="24"/>
        <v>1.0492575103480594E-3</v>
      </c>
      <c r="F319" s="82">
        <f t="shared" si="25"/>
        <v>5.4049979834629968E-5</v>
      </c>
      <c r="G319" s="80"/>
      <c r="H319" s="8"/>
      <c r="I319" s="8"/>
      <c r="J319" s="8"/>
      <c r="K319" s="8"/>
    </row>
    <row r="320" spans="1:11">
      <c r="A320" s="78"/>
      <c r="B320" s="82">
        <f t="shared" si="21"/>
        <v>5.3448429570954288E-3</v>
      </c>
      <c r="C320" s="83">
        <f t="shared" si="22"/>
        <v>3.0789521494561088E-4</v>
      </c>
      <c r="D320" s="82">
        <f t="shared" si="23"/>
        <v>5.0830898676296728E-3</v>
      </c>
      <c r="E320" s="82">
        <f t="shared" si="24"/>
        <v>4.2985657774597093E-3</v>
      </c>
      <c r="F320" s="82">
        <f t="shared" si="25"/>
        <v>2.9281665709261578E-4</v>
      </c>
      <c r="G320" s="80"/>
      <c r="H320" s="8"/>
      <c r="I320" s="8"/>
      <c r="J320" s="8"/>
      <c r="K320" s="8"/>
    </row>
    <row r="321" spans="1:11">
      <c r="A321" s="78"/>
      <c r="B321" s="82">
        <f t="shared" si="21"/>
        <v>9.729457199504401E-4</v>
      </c>
      <c r="C321" s="83">
        <f t="shared" si="22"/>
        <v>4.2937025740196371E-5</v>
      </c>
      <c r="D321" s="82">
        <f t="shared" si="23"/>
        <v>1.239565760678219E-3</v>
      </c>
      <c r="E321" s="82">
        <f t="shared" si="24"/>
        <v>1.4042792589571405E-3</v>
      </c>
      <c r="F321" s="82">
        <f t="shared" si="25"/>
        <v>5.470322329555843E-5</v>
      </c>
      <c r="G321" s="80"/>
      <c r="H321" s="8"/>
      <c r="I321" s="8"/>
      <c r="J321" s="8"/>
      <c r="K321" s="8"/>
    </row>
    <row r="322" spans="1:11">
      <c r="A322" s="78"/>
      <c r="B322" s="82">
        <f t="shared" ref="B322:B353" si="26">G131/$G$191</f>
        <v>1.505008440414505E-4</v>
      </c>
      <c r="C322" s="83">
        <f t="shared" ref="C322:C353" si="27">B322*(H131/100)</f>
        <v>6.3339823616050175E-6</v>
      </c>
      <c r="D322" s="82">
        <f t="shared" ref="D322:D353" si="28">I131/$I$191</f>
        <v>1.730881176351712E-4</v>
      </c>
      <c r="E322" s="82">
        <f t="shared" ref="E322:E353" si="29">D322*(F131/100)</f>
        <v>1.770102943807842E-4</v>
      </c>
      <c r="F322" s="82">
        <f t="shared" ref="F322:F353" si="30">D322*(H131/100)</f>
        <v>7.284590934271696E-6</v>
      </c>
      <c r="G322" s="80"/>
      <c r="H322" s="8"/>
      <c r="I322" s="8"/>
      <c r="J322" s="8"/>
      <c r="K322" s="8"/>
    </row>
    <row r="323" spans="1:11">
      <c r="A323" s="78"/>
      <c r="B323" s="82">
        <f t="shared" si="26"/>
        <v>4.6325814788057886E-3</v>
      </c>
      <c r="C323" s="83">
        <f t="shared" si="27"/>
        <v>2.5191165086859259E-4</v>
      </c>
      <c r="D323" s="82">
        <f t="shared" si="28"/>
        <v>5.3475876977524088E-3</v>
      </c>
      <c r="E323" s="82">
        <f t="shared" si="29"/>
        <v>5.4890313923579596E-3</v>
      </c>
      <c r="F323" s="82">
        <f t="shared" si="30"/>
        <v>2.9079243425474583E-4</v>
      </c>
      <c r="G323" s="80"/>
      <c r="H323" s="8"/>
      <c r="I323" s="8"/>
      <c r="J323" s="8"/>
      <c r="K323" s="8"/>
    </row>
    <row r="324" spans="1:11">
      <c r="A324" s="78"/>
      <c r="B324" s="82">
        <f t="shared" si="26"/>
        <v>6.0338253624865603E-3</v>
      </c>
      <c r="C324" s="83">
        <f t="shared" si="27"/>
        <v>3.0898623243690417E-4</v>
      </c>
      <c r="D324" s="82">
        <f t="shared" si="28"/>
        <v>5.4871269278220459E-3</v>
      </c>
      <c r="E324" s="82">
        <f t="shared" si="29"/>
        <v>4.4371103189140195E-3</v>
      </c>
      <c r="F324" s="82">
        <f t="shared" si="30"/>
        <v>2.8099034600367011E-4</v>
      </c>
      <c r="G324" s="80"/>
      <c r="H324" s="8"/>
      <c r="I324" s="8"/>
      <c r="J324" s="8"/>
      <c r="K324" s="8"/>
    </row>
    <row r="325" spans="1:11">
      <c r="A325" s="78"/>
      <c r="B325" s="82">
        <f t="shared" si="26"/>
        <v>7.0668737295477124E-4</v>
      </c>
      <c r="C325" s="83">
        <f t="shared" si="27"/>
        <v>3.2162461001015527E-5</v>
      </c>
      <c r="D325" s="82">
        <f t="shared" si="28"/>
        <v>9.1091364463067074E-4</v>
      </c>
      <c r="E325" s="82">
        <f t="shared" si="29"/>
        <v>1.0440710012027822E-3</v>
      </c>
      <c r="F325" s="82">
        <f t="shared" si="30"/>
        <v>4.1457121907004727E-5</v>
      </c>
      <c r="G325" s="80"/>
      <c r="H325" s="8"/>
      <c r="I325" s="8"/>
      <c r="J325" s="8"/>
      <c r="K325" s="8"/>
    </row>
    <row r="326" spans="1:11">
      <c r="A326" s="78"/>
      <c r="B326" s="82">
        <f t="shared" si="26"/>
        <v>2.6166114671948861E-4</v>
      </c>
      <c r="C326" s="83">
        <f t="shared" si="27"/>
        <v>1.646322774524438E-5</v>
      </c>
      <c r="D326" s="82">
        <f t="shared" si="28"/>
        <v>3.2693843929718699E-4</v>
      </c>
      <c r="E326" s="82">
        <f t="shared" si="29"/>
        <v>3.6324168359674663E-4</v>
      </c>
      <c r="F326" s="82">
        <f t="shared" si="30"/>
        <v>2.0570352351908641E-5</v>
      </c>
      <c r="G326" s="80"/>
      <c r="H326" s="8"/>
      <c r="I326" s="8"/>
      <c r="J326" s="8"/>
      <c r="K326" s="8"/>
    </row>
    <row r="327" spans="1:11">
      <c r="A327" s="78"/>
      <c r="B327" s="82">
        <f t="shared" si="26"/>
        <v>2.059315863714937E-4</v>
      </c>
      <c r="C327" s="83">
        <f t="shared" si="27"/>
        <v>8.8053774947104306E-6</v>
      </c>
      <c r="D327" s="82">
        <f t="shared" si="28"/>
        <v>2.4257443225733248E-4</v>
      </c>
      <c r="E327" s="82">
        <f t="shared" si="29"/>
        <v>2.5407973757929771E-4</v>
      </c>
      <c r="F327" s="82">
        <f t="shared" si="30"/>
        <v>1.0372179830332954E-5</v>
      </c>
      <c r="G327" s="80"/>
      <c r="H327" s="8"/>
      <c r="I327" s="8"/>
      <c r="J327" s="8"/>
      <c r="K327" s="8"/>
    </row>
    <row r="328" spans="1:11">
      <c r="A328" s="78"/>
      <c r="B328" s="82">
        <f t="shared" si="26"/>
        <v>4.4703175485576624E-4</v>
      </c>
      <c r="C328" s="83">
        <f t="shared" si="27"/>
        <v>2.4987415754796164E-5</v>
      </c>
      <c r="D328" s="82">
        <f t="shared" si="28"/>
        <v>5.4004842144338909E-4</v>
      </c>
      <c r="E328" s="82">
        <f t="shared" si="29"/>
        <v>5.8013621576713189E-4</v>
      </c>
      <c r="F328" s="82">
        <f t="shared" si="30"/>
        <v>3.0186702147549408E-5</v>
      </c>
      <c r="G328" s="80"/>
      <c r="H328" s="8"/>
      <c r="I328" s="8"/>
      <c r="J328" s="8"/>
      <c r="K328" s="8"/>
    </row>
    <row r="329" spans="1:11">
      <c r="A329" s="78"/>
      <c r="B329" s="82">
        <f t="shared" si="26"/>
        <v>7.316156914523585E-4</v>
      </c>
      <c r="C329" s="83">
        <f t="shared" si="27"/>
        <v>3.866139279784979E-5</v>
      </c>
      <c r="D329" s="82">
        <f t="shared" si="28"/>
        <v>9.2232036885294875E-4</v>
      </c>
      <c r="E329" s="82">
        <f t="shared" si="29"/>
        <v>1.0339119102804669E-3</v>
      </c>
      <c r="F329" s="82">
        <f t="shared" si="30"/>
        <v>4.8738962931337775E-5</v>
      </c>
      <c r="G329" s="80"/>
      <c r="H329" s="8"/>
      <c r="I329" s="8"/>
      <c r="J329" s="8"/>
      <c r="K329" s="8"/>
    </row>
    <row r="330" spans="1:11">
      <c r="A330" s="78"/>
      <c r="B330" s="82">
        <f t="shared" si="26"/>
        <v>7.7266294341830281E-4</v>
      </c>
      <c r="C330" s="83">
        <f t="shared" si="27"/>
        <v>4.4498297756908302E-5</v>
      </c>
      <c r="D330" s="82">
        <f t="shared" si="28"/>
        <v>7.898094942954063E-4</v>
      </c>
      <c r="E330" s="82">
        <f t="shared" si="29"/>
        <v>7.1788944174486669E-4</v>
      </c>
      <c r="F330" s="82">
        <f t="shared" si="30"/>
        <v>4.5485781798860421E-5</v>
      </c>
      <c r="G330" s="80"/>
      <c r="H330" s="8"/>
      <c r="I330" s="8"/>
      <c r="J330" s="8"/>
      <c r="K330" s="8"/>
    </row>
    <row r="331" spans="1:11">
      <c r="A331" s="78"/>
      <c r="B331" s="82">
        <f t="shared" si="26"/>
        <v>4.0628332090777362E-4</v>
      </c>
      <c r="C331" s="83">
        <f t="shared" si="27"/>
        <v>2.1757399663831234E-5</v>
      </c>
      <c r="D331" s="82">
        <f t="shared" si="28"/>
        <v>4.7773544520190184E-4</v>
      </c>
      <c r="E331" s="82">
        <f t="shared" si="29"/>
        <v>4.9951540414865656E-4</v>
      </c>
      <c r="F331" s="82">
        <f t="shared" si="30"/>
        <v>2.5583824094998051E-5</v>
      </c>
      <c r="G331" s="80"/>
      <c r="H331" s="8"/>
      <c r="I331" s="8"/>
      <c r="J331" s="8"/>
      <c r="K331" s="8"/>
    </row>
    <row r="332" spans="1:11">
      <c r="A332" s="78"/>
      <c r="B332" s="82">
        <f t="shared" si="26"/>
        <v>2.7046248664823569E-3</v>
      </c>
      <c r="C332" s="83">
        <f t="shared" si="27"/>
        <v>1.5291754129574241E-4</v>
      </c>
      <c r="D332" s="82">
        <f t="shared" si="28"/>
        <v>2.6934403715100801E-3</v>
      </c>
      <c r="E332" s="82">
        <f t="shared" si="29"/>
        <v>2.385122252183321E-3</v>
      </c>
      <c r="F332" s="82">
        <f t="shared" si="30"/>
        <v>1.5228517800832666E-4</v>
      </c>
      <c r="G332" s="80"/>
      <c r="H332" s="8"/>
      <c r="I332" s="8"/>
      <c r="J332" s="8"/>
      <c r="K332" s="8"/>
    </row>
    <row r="333" spans="1:11">
      <c r="A333" s="78"/>
      <c r="B333" s="82">
        <f t="shared" si="26"/>
        <v>2.1457432289071254E-5</v>
      </c>
      <c r="C333" s="83">
        <f t="shared" si="27"/>
        <v>1.241042580930494E-6</v>
      </c>
      <c r="D333" s="82">
        <f t="shared" si="28"/>
        <v>1.6549743953670824E-5</v>
      </c>
      <c r="E333" s="82">
        <f t="shared" si="29"/>
        <v>1.135031089574606E-5</v>
      </c>
      <c r="F333" s="82">
        <f t="shared" si="30"/>
        <v>9.5719453629423384E-7</v>
      </c>
      <c r="G333" s="80"/>
      <c r="H333" s="8"/>
      <c r="I333" s="8"/>
      <c r="J333" s="8"/>
      <c r="K333" s="8"/>
    </row>
    <row r="334" spans="1:11">
      <c r="A334" s="78"/>
      <c r="B334" s="82">
        <f t="shared" si="26"/>
        <v>2.7996949681937641E-5</v>
      </c>
      <c r="C334" s="83">
        <f t="shared" si="27"/>
        <v>1.624021775344337E-6</v>
      </c>
      <c r="D334" s="82">
        <f t="shared" si="28"/>
        <v>2.1484935598972898E-5</v>
      </c>
      <c r="E334" s="82">
        <f t="shared" si="29"/>
        <v>1.4660890354027125E-5</v>
      </c>
      <c r="F334" s="82">
        <f t="shared" si="30"/>
        <v>1.2462787428986755E-6</v>
      </c>
      <c r="G334" s="80"/>
      <c r="H334" s="8"/>
      <c r="I334" s="8"/>
      <c r="J334" s="8"/>
      <c r="K334" s="8"/>
    </row>
    <row r="335" spans="1:11">
      <c r="A335" s="78"/>
      <c r="B335" s="82">
        <f t="shared" si="26"/>
        <v>7.2693229367099994E-3</v>
      </c>
      <c r="C335" s="83">
        <f t="shared" si="27"/>
        <v>4.1106577236056218E-4</v>
      </c>
      <c r="D335" s="82">
        <f t="shared" si="28"/>
        <v>6.6674981645772242E-3</v>
      </c>
      <c r="E335" s="82">
        <f t="shared" si="29"/>
        <v>5.4379448280475378E-3</v>
      </c>
      <c r="F335" s="82">
        <f t="shared" si="30"/>
        <v>3.7703377695516289E-4</v>
      </c>
      <c r="G335" s="80"/>
      <c r="H335" s="8"/>
      <c r="I335" s="8"/>
      <c r="J335" s="8"/>
      <c r="K335" s="8"/>
    </row>
    <row r="336" spans="1:11">
      <c r="A336" s="78"/>
      <c r="B336" s="82">
        <f t="shared" si="26"/>
        <v>8.5697559648344841E-5</v>
      </c>
      <c r="C336" s="83">
        <f t="shared" si="27"/>
        <v>2.4212827828688767E-6</v>
      </c>
      <c r="D336" s="82">
        <f t="shared" si="28"/>
        <v>9.4737831731561687E-5</v>
      </c>
      <c r="E336" s="82">
        <f t="shared" si="29"/>
        <v>9.3128235970442452E-5</v>
      </c>
      <c r="F336" s="82">
        <f t="shared" si="30"/>
        <v>2.6767049353474728E-6</v>
      </c>
      <c r="G336" s="80"/>
      <c r="H336" s="8"/>
      <c r="I336" s="8"/>
      <c r="J336" s="8"/>
      <c r="K336" s="8"/>
    </row>
    <row r="337" spans="1:11">
      <c r="A337" s="78"/>
      <c r="B337" s="82">
        <f t="shared" si="26"/>
        <v>4.9337153363966299E-4</v>
      </c>
      <c r="C337" s="83">
        <f t="shared" si="27"/>
        <v>3.0440534156602396E-5</v>
      </c>
      <c r="D337" s="82">
        <f t="shared" si="28"/>
        <v>6.3911961432803869E-4</v>
      </c>
      <c r="E337" s="82">
        <f t="shared" si="29"/>
        <v>7.3619549254832443E-4</v>
      </c>
      <c r="F337" s="82">
        <f t="shared" si="30"/>
        <v>3.9433046139861808E-5</v>
      </c>
      <c r="G337" s="80"/>
      <c r="H337" s="8"/>
      <c r="I337" s="8"/>
      <c r="J337" s="8"/>
      <c r="K337" s="8"/>
    </row>
    <row r="338" spans="1:11">
      <c r="A338" s="78"/>
      <c r="B338" s="82">
        <f t="shared" si="26"/>
        <v>6.0797973652483631E-5</v>
      </c>
      <c r="C338" s="83">
        <f t="shared" si="27"/>
        <v>2.9245414482519348E-6</v>
      </c>
      <c r="D338" s="82">
        <f t="shared" si="28"/>
        <v>5.8157593473359749E-5</v>
      </c>
      <c r="E338" s="82">
        <f t="shared" si="29"/>
        <v>4.9468267432505064E-5</v>
      </c>
      <c r="F338" s="82">
        <f t="shared" si="30"/>
        <v>2.7975322601311525E-6</v>
      </c>
      <c r="G338" s="80"/>
      <c r="H338" s="8"/>
      <c r="I338" s="8"/>
      <c r="J338" s="8"/>
      <c r="K338" s="8"/>
    </row>
    <row r="339" spans="1:11">
      <c r="A339" s="78"/>
      <c r="B339" s="82">
        <f t="shared" si="26"/>
        <v>8.6197505178379433E-4</v>
      </c>
      <c r="C339" s="83">
        <f t="shared" si="27"/>
        <v>3.3476084099690729E-6</v>
      </c>
      <c r="D339" s="82">
        <f t="shared" si="28"/>
        <v>1.0413800094728129E-3</v>
      </c>
      <c r="E339" s="82">
        <f t="shared" si="29"/>
        <v>1.1187337165764533E-3</v>
      </c>
      <c r="F339" s="82">
        <f t="shared" si="30"/>
        <v>4.0443542657882787E-6</v>
      </c>
      <c r="G339" s="80"/>
      <c r="H339" s="8"/>
      <c r="I339" s="8"/>
      <c r="J339" s="8"/>
      <c r="K339" s="8"/>
    </row>
    <row r="340" spans="1:11">
      <c r="A340" s="78"/>
      <c r="B340" s="82">
        <f t="shared" si="26"/>
        <v>1.7868455498460797E-3</v>
      </c>
      <c r="C340" s="83">
        <f t="shared" si="27"/>
        <v>1.0145208895743485E-4</v>
      </c>
      <c r="D340" s="82">
        <f t="shared" si="28"/>
        <v>1.8137582213159187E-3</v>
      </c>
      <c r="E340" s="82">
        <f t="shared" si="29"/>
        <v>1.6370981705597482E-3</v>
      </c>
      <c r="F340" s="82">
        <f t="shared" si="30"/>
        <v>1.0298011511519398E-4</v>
      </c>
      <c r="G340" s="80"/>
      <c r="H340" s="8"/>
      <c r="I340" s="8"/>
      <c r="J340" s="8"/>
      <c r="K340" s="8"/>
    </row>
    <row r="341" spans="1:11">
      <c r="A341" s="78"/>
      <c r="B341" s="82">
        <f t="shared" si="26"/>
        <v>7.5273408022106156E-5</v>
      </c>
      <c r="C341" s="83">
        <f t="shared" si="27"/>
        <v>3.1006002348423563E-6</v>
      </c>
      <c r="D341" s="82">
        <f t="shared" si="28"/>
        <v>8.461333399847399E-5</v>
      </c>
      <c r="E341" s="82">
        <f t="shared" si="29"/>
        <v>8.4574411864834684E-5</v>
      </c>
      <c r="F341" s="82">
        <f t="shared" si="30"/>
        <v>3.4853227741384591E-6</v>
      </c>
      <c r="G341" s="80"/>
      <c r="H341" s="8"/>
      <c r="I341" s="8"/>
      <c r="J341" s="8"/>
      <c r="K341" s="8"/>
    </row>
    <row r="342" spans="1:11">
      <c r="A342" s="78"/>
      <c r="B342" s="82">
        <f t="shared" si="26"/>
        <v>7.0371643227628978E-5</v>
      </c>
      <c r="C342" s="83">
        <f t="shared" si="27"/>
        <v>2.9973818003168783E-6</v>
      </c>
      <c r="D342" s="82">
        <f t="shared" si="28"/>
        <v>7.9259263462002656E-5</v>
      </c>
      <c r="E342" s="82">
        <f t="shared" si="29"/>
        <v>7.9378944949830269E-5</v>
      </c>
      <c r="F342" s="82">
        <f t="shared" si="30"/>
        <v>3.3759375639284999E-6</v>
      </c>
      <c r="G342" s="80"/>
      <c r="H342" s="8"/>
      <c r="I342" s="8"/>
      <c r="J342" s="8"/>
      <c r="K342" s="8"/>
    </row>
    <row r="343" spans="1:11">
      <c r="A343" s="78"/>
      <c r="B343" s="82">
        <f t="shared" si="26"/>
        <v>6.2088062979986708E-4</v>
      </c>
      <c r="C343" s="83">
        <f t="shared" si="27"/>
        <v>3.003114053958216E-5</v>
      </c>
      <c r="D343" s="82">
        <f t="shared" si="28"/>
        <v>7.7073205114601287E-4</v>
      </c>
      <c r="E343" s="82">
        <f t="shared" si="29"/>
        <v>8.5074945269599195E-4</v>
      </c>
      <c r="F343" s="82">
        <f t="shared" si="30"/>
        <v>3.7279247306824731E-5</v>
      </c>
      <c r="G343" s="80"/>
      <c r="H343" s="8"/>
      <c r="I343" s="8"/>
      <c r="J343" s="8"/>
      <c r="K343" s="8"/>
    </row>
    <row r="344" spans="1:11">
      <c r="A344" s="78"/>
      <c r="B344" s="82">
        <f t="shared" si="26"/>
        <v>3.5628302140396834E-7</v>
      </c>
      <c r="C344" s="83">
        <f t="shared" si="27"/>
        <v>1.9357822657044099E-8</v>
      </c>
      <c r="D344" s="82">
        <f t="shared" si="28"/>
        <v>3.9727721285285007E-7</v>
      </c>
      <c r="E344" s="82">
        <f t="shared" si="29"/>
        <v>3.939083020878579E-7</v>
      </c>
      <c r="F344" s="82">
        <f t="shared" si="30"/>
        <v>2.158514823913126E-8</v>
      </c>
      <c r="G344" s="80"/>
      <c r="H344" s="8"/>
      <c r="I344" s="8"/>
      <c r="J344" s="8"/>
      <c r="K344" s="8"/>
    </row>
    <row r="345" spans="1:11">
      <c r="A345" s="78"/>
      <c r="B345" s="82">
        <f t="shared" si="26"/>
        <v>7.5273408022106156E-5</v>
      </c>
      <c r="C345" s="83">
        <f t="shared" si="27"/>
        <v>3.1006002348423563E-6</v>
      </c>
      <c r="D345" s="82">
        <f t="shared" si="28"/>
        <v>8.461333399847399E-5</v>
      </c>
      <c r="E345" s="82">
        <f t="shared" si="29"/>
        <v>8.4574411864834684E-5</v>
      </c>
      <c r="F345" s="82">
        <f t="shared" si="30"/>
        <v>3.4853227741384591E-6</v>
      </c>
      <c r="G345" s="80"/>
      <c r="H345" s="8"/>
      <c r="I345" s="8"/>
      <c r="J345" s="8"/>
      <c r="K345" s="8"/>
    </row>
    <row r="346" spans="1:11">
      <c r="A346" s="78"/>
      <c r="B346" s="82">
        <f t="shared" si="26"/>
        <v>1.0393925034422801E-3</v>
      </c>
      <c r="C346" s="83">
        <f t="shared" si="27"/>
        <v>4.5730660995640713E-5</v>
      </c>
      <c r="D346" s="82">
        <f t="shared" si="28"/>
        <v>1.2525443828892691E-3</v>
      </c>
      <c r="E346" s="82">
        <f t="shared" si="29"/>
        <v>1.3421764589288253E-3</v>
      </c>
      <c r="F346" s="82">
        <f t="shared" si="30"/>
        <v>5.5108808622539813E-5</v>
      </c>
      <c r="G346" s="80"/>
      <c r="H346" s="8"/>
      <c r="I346" s="8"/>
      <c r="J346" s="8"/>
      <c r="K346" s="8"/>
    </row>
    <row r="347" spans="1:11">
      <c r="A347" s="78"/>
      <c r="B347" s="82">
        <f t="shared" si="26"/>
        <v>2.1836701311856125E-7</v>
      </c>
      <c r="C347" s="83">
        <f t="shared" si="27"/>
        <v>1.365118739177992E-8</v>
      </c>
      <c r="D347" s="82">
        <f t="shared" si="28"/>
        <v>2.1314924311996166E-7</v>
      </c>
      <c r="E347" s="82">
        <f t="shared" si="29"/>
        <v>1.8500501705840193E-7</v>
      </c>
      <c r="F347" s="82">
        <f t="shared" si="30"/>
        <v>1.3324999131928525E-8</v>
      </c>
      <c r="G347" s="80"/>
      <c r="H347" s="8"/>
      <c r="I347" s="8"/>
      <c r="J347" s="8"/>
      <c r="K347" s="8"/>
    </row>
    <row r="348" spans="1:11">
      <c r="A348" s="78"/>
      <c r="B348" s="82">
        <f t="shared" si="26"/>
        <v>9.7115855834307495E-7</v>
      </c>
      <c r="C348" s="83">
        <f t="shared" si="27"/>
        <v>5.6545037115505651E-8</v>
      </c>
      <c r="D348" s="82">
        <f t="shared" si="28"/>
        <v>7.7305433787313576E-7</v>
      </c>
      <c r="E348" s="82">
        <f t="shared" si="29"/>
        <v>5.47183321433363E-7</v>
      </c>
      <c r="F348" s="82">
        <f t="shared" si="30"/>
        <v>4.5010555538858895E-8</v>
      </c>
      <c r="G348" s="80"/>
      <c r="H348" s="8"/>
      <c r="I348" s="8"/>
      <c r="J348" s="8"/>
      <c r="K348" s="8"/>
    </row>
    <row r="349" spans="1:11">
      <c r="A349" s="78"/>
      <c r="B349" s="82">
        <f t="shared" si="26"/>
        <v>2.1457432289071254E-5</v>
      </c>
      <c r="C349" s="83">
        <f t="shared" si="27"/>
        <v>1.241042580930494E-6</v>
      </c>
      <c r="D349" s="82">
        <f t="shared" si="28"/>
        <v>1.6549743953670824E-5</v>
      </c>
      <c r="E349" s="82">
        <f t="shared" si="29"/>
        <v>1.135031089574606E-5</v>
      </c>
      <c r="F349" s="82">
        <f t="shared" si="30"/>
        <v>9.5719453629423384E-7</v>
      </c>
      <c r="G349" s="80"/>
      <c r="H349" s="8"/>
      <c r="I349" s="8"/>
      <c r="J349" s="8"/>
      <c r="K349" s="8"/>
    </row>
    <row r="350" spans="1:11">
      <c r="A350" s="78"/>
      <c r="B350" s="82">
        <f t="shared" si="26"/>
        <v>2.7996949681937641E-5</v>
      </c>
      <c r="C350" s="83">
        <f t="shared" si="27"/>
        <v>1.624021775344337E-6</v>
      </c>
      <c r="D350" s="82">
        <f t="shared" si="28"/>
        <v>2.1484935598972898E-5</v>
      </c>
      <c r="E350" s="82">
        <f t="shared" si="29"/>
        <v>1.4660890354027125E-5</v>
      </c>
      <c r="F350" s="82">
        <f t="shared" si="30"/>
        <v>1.2462787428986755E-6</v>
      </c>
      <c r="G350" s="80"/>
      <c r="H350" s="8"/>
      <c r="I350" s="8"/>
      <c r="J350" s="8"/>
      <c r="K350" s="8"/>
    </row>
    <row r="351" spans="1:11">
      <c r="A351" s="78"/>
      <c r="B351" s="82">
        <f t="shared" si="26"/>
        <v>2.3503186411971459E-5</v>
      </c>
      <c r="C351" s="83">
        <f t="shared" si="27"/>
        <v>1.3708645283512753E-6</v>
      </c>
      <c r="D351" s="82">
        <f t="shared" si="28"/>
        <v>1.7952621162683718E-5</v>
      </c>
      <c r="E351" s="82">
        <f t="shared" si="29"/>
        <v>1.2193599819906411E-5</v>
      </c>
      <c r="F351" s="82">
        <f t="shared" si="30"/>
        <v>1.0471180848191718E-6</v>
      </c>
      <c r="G351" s="80"/>
      <c r="H351" s="8"/>
      <c r="I351" s="8"/>
      <c r="J351" s="8"/>
      <c r="K351" s="8"/>
    </row>
    <row r="352" spans="1:11">
      <c r="A352" s="78"/>
      <c r="B352" s="82">
        <f t="shared" si="26"/>
        <v>1.2954335728241384E-4</v>
      </c>
      <c r="C352" s="83">
        <f t="shared" si="27"/>
        <v>2.920509540940551E-6</v>
      </c>
      <c r="D352" s="82">
        <f t="shared" si="28"/>
        <v>1.4514945364389238E-4</v>
      </c>
      <c r="E352" s="82">
        <f t="shared" si="29"/>
        <v>1.446167551490193E-4</v>
      </c>
      <c r="F352" s="82">
        <f t="shared" si="30"/>
        <v>3.2723435081672372E-6</v>
      </c>
      <c r="G352" s="80"/>
      <c r="H352" s="8"/>
      <c r="I352" s="8"/>
      <c r="J352" s="8"/>
      <c r="K352" s="8"/>
    </row>
    <row r="353" spans="1:11">
      <c r="A353" s="78"/>
      <c r="B353" s="82">
        <f t="shared" si="26"/>
        <v>8.5697559648344841E-5</v>
      </c>
      <c r="C353" s="83">
        <f t="shared" si="27"/>
        <v>2.5258502261492615E-6</v>
      </c>
      <c r="D353" s="82">
        <f t="shared" si="28"/>
        <v>9.4324381921154479E-5</v>
      </c>
      <c r="E353" s="82">
        <f t="shared" si="29"/>
        <v>9.231715907387231E-5</v>
      </c>
      <c r="F353" s="82">
        <f t="shared" si="30"/>
        <v>2.7801172213605603E-6</v>
      </c>
      <c r="G353" s="80"/>
      <c r="H353" s="8"/>
      <c r="I353" s="8"/>
      <c r="J353" s="8"/>
      <c r="K353" s="8"/>
    </row>
    <row r="354" spans="1:11">
      <c r="A354" s="78"/>
      <c r="B354" s="82">
        <f t="shared" ref="B354:B382" si="31">G163/$G$191</f>
        <v>6.3211503797478251E-5</v>
      </c>
      <c r="C354" s="83">
        <f t="shared" ref="C354:C381" si="32">B354*(H163/100)</f>
        <v>2.8053982361802671E-6</v>
      </c>
      <c r="D354" s="82">
        <f t="shared" ref="D354:D382" si="33">I163/$I$191</f>
        <v>7.4242351449190034E-5</v>
      </c>
      <c r="E354" s="82">
        <f t="shared" ref="E354:E381" si="34">D354*(F163/100)</f>
        <v>7.7537227006505092E-5</v>
      </c>
      <c r="F354" s="82">
        <f t="shared" ref="F354:F381" si="35">D354*(H163/100)</f>
        <v>3.294959766702185E-6</v>
      </c>
      <c r="G354" s="80"/>
      <c r="H354" s="8"/>
      <c r="I354" s="8"/>
      <c r="J354" s="8"/>
      <c r="K354" s="8"/>
    </row>
    <row r="355" spans="1:11">
      <c r="A355" s="78"/>
      <c r="B355" s="82">
        <f t="shared" si="31"/>
        <v>5.7465003452252956E-9</v>
      </c>
      <c r="C355" s="83">
        <f t="shared" si="32"/>
        <v>2.584896636950544E-10</v>
      </c>
      <c r="D355" s="82">
        <f t="shared" si="33"/>
        <v>7.7447233939774472E-9</v>
      </c>
      <c r="E355" s="82">
        <f t="shared" si="34"/>
        <v>9.281353962576512E-9</v>
      </c>
      <c r="F355" s="82">
        <f t="shared" si="35"/>
        <v>3.4837393635307678E-10</v>
      </c>
      <c r="G355" s="80"/>
      <c r="H355" s="8"/>
      <c r="I355" s="8"/>
      <c r="J355" s="8"/>
      <c r="K355" s="8"/>
    </row>
    <row r="356" spans="1:11">
      <c r="A356" s="78"/>
      <c r="B356" s="82">
        <f t="shared" si="31"/>
        <v>2.3503186411971459E-5</v>
      </c>
      <c r="C356" s="83">
        <f t="shared" si="32"/>
        <v>1.3708645283512753E-6</v>
      </c>
      <c r="D356" s="82">
        <f t="shared" si="33"/>
        <v>1.7952621162683718E-5</v>
      </c>
      <c r="E356" s="82">
        <f t="shared" si="34"/>
        <v>1.2193599819906411E-5</v>
      </c>
      <c r="F356" s="82">
        <f t="shared" si="35"/>
        <v>1.0471180848191718E-6</v>
      </c>
      <c r="G356" s="80"/>
      <c r="H356" s="8"/>
      <c r="I356" s="8"/>
      <c r="J356" s="8"/>
      <c r="K356" s="8"/>
    </row>
    <row r="357" spans="1:11">
      <c r="A357" s="78"/>
      <c r="B357" s="82">
        <f t="shared" si="31"/>
        <v>1.8101476087459681E-6</v>
      </c>
      <c r="C357" s="83">
        <f t="shared" si="32"/>
        <v>7.5484205966784896E-8</v>
      </c>
      <c r="D357" s="82">
        <f t="shared" si="33"/>
        <v>2.1431511024714725E-6</v>
      </c>
      <c r="E357" s="82">
        <f t="shared" si="34"/>
        <v>2.256288049170941E-6</v>
      </c>
      <c r="F357" s="82">
        <f t="shared" si="35"/>
        <v>8.9370644943686321E-8</v>
      </c>
      <c r="G357" s="80"/>
      <c r="H357" s="8"/>
      <c r="I357" s="8"/>
      <c r="J357" s="8"/>
      <c r="K357" s="8"/>
    </row>
    <row r="358" spans="1:11">
      <c r="A358" s="78"/>
      <c r="B358" s="82">
        <f t="shared" si="31"/>
        <v>3.9478457371697784E-6</v>
      </c>
      <c r="C358" s="83">
        <f t="shared" si="32"/>
        <v>2.1141615492075162E-7</v>
      </c>
      <c r="D358" s="82">
        <f t="shared" si="33"/>
        <v>4.6421443947568848E-6</v>
      </c>
      <c r="E358" s="82">
        <f t="shared" si="34"/>
        <v>4.8537797577138516E-6</v>
      </c>
      <c r="F358" s="82">
        <f t="shared" si="35"/>
        <v>2.4859743360438548E-7</v>
      </c>
      <c r="G358" s="80"/>
      <c r="H358" s="8"/>
      <c r="I358" s="8"/>
      <c r="J358" s="8"/>
      <c r="K358" s="8"/>
    </row>
    <row r="359" spans="1:11">
      <c r="A359" s="78"/>
      <c r="B359" s="82">
        <f t="shared" si="31"/>
        <v>7.0371643227628978E-5</v>
      </c>
      <c r="C359" s="83">
        <f t="shared" si="32"/>
        <v>2.9973818003168783E-6</v>
      </c>
      <c r="D359" s="82">
        <f t="shared" si="33"/>
        <v>7.9259263462002656E-5</v>
      </c>
      <c r="E359" s="82">
        <f t="shared" si="34"/>
        <v>7.9378944949830269E-5</v>
      </c>
      <c r="F359" s="82">
        <f t="shared" si="35"/>
        <v>3.3759375639284999E-6</v>
      </c>
      <c r="G359" s="80"/>
      <c r="H359" s="8"/>
      <c r="I359" s="8"/>
      <c r="J359" s="8"/>
      <c r="K359" s="8"/>
    </row>
    <row r="360" spans="1:11">
      <c r="A360" s="78"/>
      <c r="B360" s="82">
        <f t="shared" si="31"/>
        <v>3.809929728884371E-6</v>
      </c>
      <c r="C360" s="83">
        <f t="shared" si="32"/>
        <v>2.1674147084041035E-7</v>
      </c>
      <c r="D360" s="82">
        <f t="shared" si="33"/>
        <v>4.0036931827386038E-6</v>
      </c>
      <c r="E360" s="82">
        <f t="shared" si="34"/>
        <v>3.7411710207464336E-6</v>
      </c>
      <c r="F360" s="82">
        <f t="shared" si="35"/>
        <v>2.2776439750099784E-7</v>
      </c>
      <c r="G360" s="80"/>
      <c r="H360" s="8"/>
      <c r="I360" s="8"/>
      <c r="J360" s="8"/>
      <c r="K360" s="8"/>
    </row>
    <row r="361" spans="1:11">
      <c r="A361" s="78"/>
      <c r="B361" s="82">
        <f t="shared" si="31"/>
        <v>1.2222806234294203E-4</v>
      </c>
      <c r="C361" s="83">
        <f t="shared" si="32"/>
        <v>5.6066009678809418E-6</v>
      </c>
      <c r="D361" s="82">
        <f t="shared" si="33"/>
        <v>1.4018175789063184E-4</v>
      </c>
      <c r="E361" s="82">
        <f t="shared" si="34"/>
        <v>1.4296016033202416E-4</v>
      </c>
      <c r="F361" s="82">
        <f t="shared" si="35"/>
        <v>6.4301369456688606E-6</v>
      </c>
      <c r="G361" s="80"/>
      <c r="H361" s="8"/>
      <c r="I361" s="8"/>
      <c r="J361" s="8"/>
      <c r="K361" s="8"/>
    </row>
    <row r="362" spans="1:11">
      <c r="A362" s="78"/>
      <c r="B362" s="82">
        <f t="shared" si="31"/>
        <v>3.7754507268130195E-5</v>
      </c>
      <c r="C362" s="83">
        <f t="shared" si="32"/>
        <v>1.8943333875710723E-6</v>
      </c>
      <c r="D362" s="82">
        <f t="shared" si="33"/>
        <v>4.436798231396625E-5</v>
      </c>
      <c r="E362" s="82">
        <f t="shared" si="34"/>
        <v>4.6363210478625309E-5</v>
      </c>
      <c r="F362" s="82">
        <f t="shared" si="35"/>
        <v>2.2261646706075949E-6</v>
      </c>
      <c r="G362" s="80"/>
      <c r="H362" s="8"/>
      <c r="I362" s="8"/>
      <c r="J362" s="8"/>
      <c r="K362" s="8"/>
    </row>
    <row r="363" spans="1:11">
      <c r="A363" s="78"/>
      <c r="B363" s="82">
        <f t="shared" si="31"/>
        <v>4.6201862775611378E-5</v>
      </c>
      <c r="C363" s="83">
        <f t="shared" si="32"/>
        <v>2.7982212421795561E-6</v>
      </c>
      <c r="D363" s="82">
        <f t="shared" si="33"/>
        <v>5.1481512787021718E-5</v>
      </c>
      <c r="E363" s="82">
        <f t="shared" si="34"/>
        <v>5.1008912499636856E-5</v>
      </c>
      <c r="F363" s="82">
        <f t="shared" si="35"/>
        <v>3.1179838648459415E-6</v>
      </c>
      <c r="G363" s="80"/>
      <c r="H363" s="8"/>
      <c r="I363" s="8"/>
      <c r="J363" s="8"/>
      <c r="K363" s="8"/>
    </row>
    <row r="364" spans="1:11">
      <c r="A364" s="78"/>
      <c r="B364" s="82">
        <f t="shared" si="31"/>
        <v>1.8417533606447073E-4</v>
      </c>
      <c r="C364" s="83">
        <f t="shared" si="32"/>
        <v>1.316900182917869E-5</v>
      </c>
      <c r="D364" s="82">
        <f t="shared" si="33"/>
        <v>1.9271975225472601E-4</v>
      </c>
      <c r="E364" s="82">
        <f t="shared" si="34"/>
        <v>1.7931802068293237E-4</v>
      </c>
      <c r="F364" s="82">
        <f t="shared" si="35"/>
        <v>1.3779949173395006E-5</v>
      </c>
      <c r="G364" s="80"/>
      <c r="H364" s="8"/>
      <c r="I364" s="8"/>
      <c r="J364" s="8"/>
      <c r="K364" s="8"/>
    </row>
    <row r="365" spans="1:11">
      <c r="A365" s="78"/>
      <c r="B365" s="82">
        <f t="shared" si="31"/>
        <v>1.2217059733948978E-5</v>
      </c>
      <c r="C365" s="83">
        <f t="shared" si="32"/>
        <v>6.176475805807667E-7</v>
      </c>
      <c r="D365" s="82">
        <f t="shared" si="33"/>
        <v>1.3870208086082629E-5</v>
      </c>
      <c r="E365" s="82">
        <f t="shared" si="34"/>
        <v>1.4002391169142997E-5</v>
      </c>
      <c r="F365" s="82">
        <f t="shared" si="35"/>
        <v>7.0122440694260259E-7</v>
      </c>
      <c r="G365" s="80"/>
      <c r="H365" s="8"/>
      <c r="I365" s="8"/>
      <c r="J365" s="8"/>
      <c r="K365" s="8"/>
    </row>
    <row r="366" spans="1:11">
      <c r="A366" s="78"/>
      <c r="B366" s="82">
        <f t="shared" si="31"/>
        <v>1.8457759108863652E-5</v>
      </c>
      <c r="C366" s="83">
        <f t="shared" si="32"/>
        <v>1.1257752472797237E-6</v>
      </c>
      <c r="D366" s="82">
        <f t="shared" si="33"/>
        <v>2.0492057678290685E-5</v>
      </c>
      <c r="E366" s="82">
        <f t="shared" si="34"/>
        <v>2.0229964260585349E-5</v>
      </c>
      <c r="F366" s="82">
        <f t="shared" si="35"/>
        <v>1.249851141949827E-6</v>
      </c>
      <c r="G366" s="80"/>
      <c r="H366" s="8"/>
      <c r="I366" s="8"/>
      <c r="J366" s="8"/>
      <c r="K366" s="8"/>
    </row>
    <row r="367" spans="1:11">
      <c r="A367" s="78"/>
      <c r="B367" s="82">
        <f t="shared" si="31"/>
        <v>5.7465003452252962E-6</v>
      </c>
      <c r="C367" s="83">
        <f t="shared" si="32"/>
        <v>2.7027332610819172E-7</v>
      </c>
      <c r="D367" s="82">
        <f t="shared" si="33"/>
        <v>6.5849633283211242E-6</v>
      </c>
      <c r="E367" s="82">
        <f t="shared" si="34"/>
        <v>6.70974838339281E-6</v>
      </c>
      <c r="F367" s="82">
        <f t="shared" si="35"/>
        <v>3.0970848936337143E-7</v>
      </c>
      <c r="G367" s="80"/>
      <c r="H367" s="8"/>
      <c r="I367" s="8"/>
      <c r="J367" s="8"/>
      <c r="K367" s="8"/>
    </row>
    <row r="368" spans="1:11">
      <c r="A368" s="78"/>
      <c r="B368" s="82">
        <f t="shared" si="31"/>
        <v>5.7465003452252956E-9</v>
      </c>
      <c r="C368" s="83">
        <f t="shared" si="32"/>
        <v>2.584896636950544E-10</v>
      </c>
      <c r="D368" s="82">
        <f t="shared" si="33"/>
        <v>7.7447233939774472E-9</v>
      </c>
      <c r="E368" s="82">
        <f t="shared" si="34"/>
        <v>9.281353962576512E-9</v>
      </c>
      <c r="F368" s="82">
        <f t="shared" si="35"/>
        <v>3.4837393635307678E-10</v>
      </c>
      <c r="G368" s="80"/>
      <c r="H368" s="8"/>
      <c r="I368" s="8"/>
      <c r="J368" s="8"/>
      <c r="K368" s="8"/>
    </row>
    <row r="369" spans="1:11">
      <c r="A369" s="78"/>
      <c r="B369" s="82">
        <f t="shared" si="31"/>
        <v>3.5628302140396834E-7</v>
      </c>
      <c r="C369" s="83">
        <f t="shared" si="32"/>
        <v>1.9357822657044099E-8</v>
      </c>
      <c r="D369" s="82">
        <f t="shared" si="33"/>
        <v>3.9727721285285007E-7</v>
      </c>
      <c r="E369" s="82">
        <f t="shared" si="34"/>
        <v>3.939083020878579E-7</v>
      </c>
      <c r="F369" s="82">
        <f t="shared" si="35"/>
        <v>2.158514823913126E-8</v>
      </c>
      <c r="G369" s="80"/>
      <c r="H369" s="8"/>
      <c r="I369" s="8"/>
      <c r="J369" s="8"/>
      <c r="K369" s="8"/>
    </row>
    <row r="370" spans="1:11">
      <c r="A370" s="78"/>
      <c r="B370" s="82">
        <f t="shared" si="31"/>
        <v>1.0349447121750757E-5</v>
      </c>
      <c r="C370" s="83">
        <f t="shared" si="32"/>
        <v>5.9711597406297785E-7</v>
      </c>
      <c r="D370" s="82">
        <f t="shared" si="33"/>
        <v>9.7965131790957848E-6</v>
      </c>
      <c r="E370" s="82">
        <f t="shared" si="34"/>
        <v>8.2457251428449217E-6</v>
      </c>
      <c r="F370" s="82">
        <f t="shared" si="35"/>
        <v>5.6521420328461246E-7</v>
      </c>
      <c r="G370" s="80"/>
      <c r="H370" s="8"/>
      <c r="I370" s="8"/>
      <c r="J370" s="8"/>
      <c r="K370" s="8"/>
    </row>
    <row r="371" spans="1:11">
      <c r="A371" s="78"/>
      <c r="B371" s="82">
        <f t="shared" si="31"/>
        <v>3.7352252243964422E-6</v>
      </c>
      <c r="C371" s="83">
        <f t="shared" si="32"/>
        <v>2.1517151814705348E-7</v>
      </c>
      <c r="D371" s="82">
        <f t="shared" si="33"/>
        <v>3.5522999728624834E-6</v>
      </c>
      <c r="E371" s="82">
        <f t="shared" si="34"/>
        <v>3.0040379950508879E-6</v>
      </c>
      <c r="F371" s="82">
        <f t="shared" si="35"/>
        <v>2.0463391955114724E-7</v>
      </c>
      <c r="G371" s="80"/>
      <c r="H371" s="8"/>
      <c r="I371" s="8"/>
      <c r="J371" s="8"/>
      <c r="K371" s="8"/>
    </row>
    <row r="372" spans="1:11">
      <c r="A372" s="78"/>
      <c r="B372" s="82">
        <f t="shared" si="31"/>
        <v>5.628216143996184E-3</v>
      </c>
      <c r="C372" s="83">
        <f t="shared" si="32"/>
        <v>3.2848129851349207E-4</v>
      </c>
      <c r="D372" s="82">
        <f t="shared" si="33"/>
        <v>6.5125253465677909E-3</v>
      </c>
      <c r="E372" s="82">
        <f t="shared" si="34"/>
        <v>6.7008675795905319E-3</v>
      </c>
      <c r="F372" s="82">
        <f t="shared" si="35"/>
        <v>3.8009250670385564E-4</v>
      </c>
      <c r="G372" s="80"/>
      <c r="H372" s="8"/>
      <c r="I372" s="8"/>
      <c r="J372" s="8"/>
      <c r="K372" s="8"/>
    </row>
    <row r="373" spans="1:11">
      <c r="A373" s="78"/>
      <c r="B373" s="82">
        <f t="shared" si="31"/>
        <v>3.9478457371697784E-6</v>
      </c>
      <c r="C373" s="83">
        <f t="shared" si="32"/>
        <v>2.1141615492075162E-7</v>
      </c>
      <c r="D373" s="82">
        <f t="shared" si="33"/>
        <v>4.6421443947568848E-6</v>
      </c>
      <c r="E373" s="82">
        <f t="shared" si="34"/>
        <v>4.8537797577138516E-6</v>
      </c>
      <c r="F373" s="82">
        <f t="shared" si="35"/>
        <v>2.4859743360438548E-7</v>
      </c>
      <c r="G373" s="80"/>
      <c r="H373" s="8"/>
      <c r="I373" s="8"/>
      <c r="J373" s="8"/>
      <c r="K373" s="8"/>
    </row>
    <row r="374" spans="1:11">
      <c r="A374" s="78"/>
      <c r="B374" s="82">
        <f t="shared" si="31"/>
        <v>1.436625086306324E-6</v>
      </c>
      <c r="C374" s="83">
        <f t="shared" si="32"/>
        <v>7.2082701201334555E-8</v>
      </c>
      <c r="D374" s="82">
        <f t="shared" si="33"/>
        <v>1.6882793878982593E-6</v>
      </c>
      <c r="E374" s="82">
        <f t="shared" si="34"/>
        <v>1.764201311972044E-6</v>
      </c>
      <c r="F374" s="82">
        <f t="shared" si="35"/>
        <v>8.4709462351887175E-8</v>
      </c>
      <c r="G374" s="80"/>
      <c r="H374" s="8"/>
      <c r="I374" s="8"/>
      <c r="J374" s="8"/>
      <c r="K374" s="8"/>
    </row>
    <row r="375" spans="1:11">
      <c r="A375" s="78"/>
      <c r="B375" s="82">
        <f t="shared" si="31"/>
        <v>1.436625086306324E-6</v>
      </c>
      <c r="C375" s="83">
        <f t="shared" si="32"/>
        <v>7.2082701201334555E-8</v>
      </c>
      <c r="D375" s="82">
        <f t="shared" si="33"/>
        <v>1.6882793878982593E-6</v>
      </c>
      <c r="E375" s="82">
        <f t="shared" si="34"/>
        <v>1.764201311972044E-6</v>
      </c>
      <c r="F375" s="82">
        <f t="shared" si="35"/>
        <v>8.4709462351887175E-8</v>
      </c>
      <c r="G375" s="80"/>
      <c r="H375" s="8"/>
      <c r="I375" s="8"/>
      <c r="J375" s="8"/>
      <c r="K375" s="8"/>
    </row>
    <row r="376" spans="1:11">
      <c r="A376" s="78"/>
      <c r="B376" s="82">
        <f t="shared" si="31"/>
        <v>1.8101476087459681E-6</v>
      </c>
      <c r="C376" s="83">
        <f t="shared" si="32"/>
        <v>7.5484205966784896E-8</v>
      </c>
      <c r="D376" s="82">
        <f t="shared" si="33"/>
        <v>2.1431511024714725E-6</v>
      </c>
      <c r="E376" s="82">
        <f t="shared" si="34"/>
        <v>2.256288049170941E-6</v>
      </c>
      <c r="F376" s="82">
        <f t="shared" si="35"/>
        <v>8.9370644943686321E-8</v>
      </c>
      <c r="G376" s="80"/>
      <c r="H376" s="8"/>
      <c r="I376" s="8"/>
      <c r="J376" s="8"/>
      <c r="K376" s="8"/>
    </row>
    <row r="377" spans="1:11">
      <c r="A377" s="78"/>
      <c r="B377" s="82">
        <f t="shared" si="31"/>
        <v>3.809929728884371E-6</v>
      </c>
      <c r="C377" s="83">
        <f t="shared" si="32"/>
        <v>2.1674147084041035E-7</v>
      </c>
      <c r="D377" s="82">
        <f t="shared" si="33"/>
        <v>4.0036931827386038E-6</v>
      </c>
      <c r="E377" s="82">
        <f t="shared" si="34"/>
        <v>3.7411710207464336E-6</v>
      </c>
      <c r="F377" s="82">
        <f t="shared" si="35"/>
        <v>2.2776439750099784E-7</v>
      </c>
      <c r="G377" s="80"/>
      <c r="H377" s="8"/>
      <c r="I377" s="8"/>
      <c r="J377" s="8"/>
      <c r="K377" s="8"/>
    </row>
    <row r="378" spans="1:11">
      <c r="A378" s="78"/>
      <c r="B378" s="82">
        <f t="shared" si="31"/>
        <v>2.1836701311856125E-7</v>
      </c>
      <c r="C378" s="83">
        <f t="shared" si="32"/>
        <v>1.4477804196712951E-8</v>
      </c>
      <c r="D378" s="82">
        <f t="shared" si="33"/>
        <v>2.0210082562610586E-7</v>
      </c>
      <c r="E378" s="82">
        <f t="shared" si="34"/>
        <v>1.6632291646551632E-7</v>
      </c>
      <c r="F378" s="82">
        <f t="shared" si="35"/>
        <v>1.3399350660258123E-8</v>
      </c>
      <c r="G378" s="80"/>
      <c r="H378" s="8"/>
      <c r="I378" s="8"/>
      <c r="J378" s="8"/>
      <c r="K378" s="8"/>
    </row>
    <row r="379" spans="1:11">
      <c r="A379" s="78"/>
      <c r="B379" s="82">
        <f t="shared" si="31"/>
        <v>9.7115855834307495E-7</v>
      </c>
      <c r="C379" s="83">
        <f t="shared" si="32"/>
        <v>5.6545037115505651E-8</v>
      </c>
      <c r="D379" s="82">
        <f t="shared" si="33"/>
        <v>7.7305433787313576E-7</v>
      </c>
      <c r="E379" s="82">
        <f t="shared" si="34"/>
        <v>5.47183321433363E-7</v>
      </c>
      <c r="F379" s="82">
        <f t="shared" si="35"/>
        <v>4.5010555538858895E-8</v>
      </c>
      <c r="G379" s="80"/>
      <c r="H379" s="8"/>
      <c r="I379" s="8"/>
      <c r="J379" s="8"/>
      <c r="K379" s="8"/>
    </row>
    <row r="380" spans="1:11">
      <c r="A380" s="78"/>
      <c r="B380" s="82">
        <f t="shared" si="31"/>
        <v>1.0349447121750757E-5</v>
      </c>
      <c r="C380" s="83">
        <f t="shared" si="32"/>
        <v>5.9711597406297785E-7</v>
      </c>
      <c r="D380" s="82">
        <f t="shared" si="33"/>
        <v>9.7965131790957848E-6</v>
      </c>
      <c r="E380" s="82">
        <f t="shared" si="34"/>
        <v>8.2457251428449217E-6</v>
      </c>
      <c r="F380" s="82">
        <f t="shared" si="35"/>
        <v>5.6521420328461246E-7</v>
      </c>
      <c r="G380" s="80"/>
      <c r="H380" s="8"/>
      <c r="I380" s="8"/>
      <c r="J380" s="8"/>
      <c r="K380" s="8"/>
    </row>
    <row r="381" spans="1:11">
      <c r="A381" s="78"/>
      <c r="B381" s="82">
        <f t="shared" si="31"/>
        <v>3.7352252243964422E-6</v>
      </c>
      <c r="C381" s="83">
        <f t="shared" si="32"/>
        <v>2.1517151814705348E-7</v>
      </c>
      <c r="D381" s="82">
        <f t="shared" si="33"/>
        <v>3.5522999728624834E-6</v>
      </c>
      <c r="E381" s="82">
        <f t="shared" si="34"/>
        <v>3.0040379950508879E-6</v>
      </c>
      <c r="F381" s="82">
        <f t="shared" si="35"/>
        <v>2.0463391955114724E-7</v>
      </c>
      <c r="G381" s="80"/>
      <c r="H381" s="8"/>
      <c r="I381" s="8"/>
      <c r="J381" s="8"/>
      <c r="K381" s="8"/>
    </row>
    <row r="382" spans="1:11">
      <c r="A382" s="78" t="s">
        <v>246</v>
      </c>
      <c r="B382" s="78">
        <f t="shared" si="31"/>
        <v>1</v>
      </c>
      <c r="C382" s="86">
        <f>SUM(C194:C381)</f>
        <v>4.8688204105649356E-2</v>
      </c>
      <c r="D382" s="78">
        <f t="shared" si="33"/>
        <v>1</v>
      </c>
      <c r="E382" s="86">
        <f>SUM(E194:E381)</f>
        <v>0.91193835710466475</v>
      </c>
      <c r="F382" s="89">
        <f>SUM(F194:F381)</f>
        <v>4.7683054889066795E-2</v>
      </c>
      <c r="G382" s="80"/>
      <c r="H382" s="8"/>
      <c r="I382" s="8"/>
      <c r="J382" s="8"/>
      <c r="K382" s="8"/>
    </row>
    <row r="383" spans="1:11">
      <c r="A383" s="8"/>
      <c r="B383" s="8"/>
      <c r="C383" s="8"/>
      <c r="D383" s="8"/>
      <c r="E383" s="8"/>
      <c r="F383" s="90" t="s">
        <v>247</v>
      </c>
      <c r="G383" s="80"/>
      <c r="H383" s="8"/>
      <c r="I383" s="8"/>
      <c r="J383" s="8"/>
      <c r="K383" s="8"/>
    </row>
  </sheetData>
  <mergeCells count="7">
    <mergeCell ref="H216:K216"/>
    <mergeCell ref="A1:I1"/>
    <mergeCell ref="B192:C192"/>
    <mergeCell ref="D192:F192"/>
    <mergeCell ref="H197:I197"/>
    <mergeCell ref="H203:I203"/>
    <mergeCell ref="H210:K210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E8F7-DE94-714C-A6CA-8D76E8B4AE19}">
  <dimension ref="A1:L127"/>
  <sheetViews>
    <sheetView tabSelected="1" zoomScale="146" zoomScaleNormal="146" workbookViewId="0">
      <selection activeCell="F5" sqref="F5"/>
    </sheetView>
  </sheetViews>
  <sheetFormatPr baseColWidth="10" defaultColWidth="11" defaultRowHeight="16"/>
  <cols>
    <col min="3" max="3" width="13.5" bestFit="1" customWidth="1"/>
    <col min="5" max="5" width="8.1640625" bestFit="1" customWidth="1"/>
    <col min="9" max="9" width="16.5" bestFit="1" customWidth="1"/>
  </cols>
  <sheetData>
    <row r="1" spans="1:12">
      <c r="A1" t="s">
        <v>177</v>
      </c>
      <c r="D1" t="s">
        <v>255</v>
      </c>
      <c r="H1" s="53"/>
      <c r="I1" s="115" t="s">
        <v>178</v>
      </c>
      <c r="J1" s="116"/>
      <c r="K1" s="115" t="s">
        <v>253</v>
      </c>
      <c r="L1" s="116"/>
    </row>
    <row r="2" spans="1:12">
      <c r="A2" s="54" t="s">
        <v>179</v>
      </c>
      <c r="B2" s="55" t="s">
        <v>180</v>
      </c>
      <c r="C2" s="55" t="s">
        <v>181</v>
      </c>
      <c r="D2" s="55" t="s">
        <v>180</v>
      </c>
      <c r="E2" s="56" t="s">
        <v>181</v>
      </c>
      <c r="F2" s="54"/>
      <c r="G2" s="54"/>
      <c r="H2" s="57"/>
      <c r="I2" s="57" t="s">
        <v>182</v>
      </c>
      <c r="J2" s="57" t="s">
        <v>183</v>
      </c>
      <c r="K2" s="53" t="s">
        <v>182</v>
      </c>
      <c r="L2" s="53" t="s">
        <v>183</v>
      </c>
    </row>
    <row r="3" spans="1:12">
      <c r="A3" s="58">
        <v>44105</v>
      </c>
      <c r="B3" s="59">
        <v>3264.7</v>
      </c>
      <c r="C3" s="54"/>
      <c r="D3" s="109">
        <v>14.23</v>
      </c>
      <c r="E3" s="54"/>
      <c r="F3" s="54"/>
      <c r="G3" s="54"/>
      <c r="H3" s="57" t="s">
        <v>184</v>
      </c>
      <c r="I3" s="60">
        <f>AVERAGE($C$4:$C$63)</f>
        <v>1.3496481611832827E-2</v>
      </c>
      <c r="J3" s="60">
        <f>AVERAGE($C$26:$C$63)</f>
        <v>1.5476083039452004E-2</v>
      </c>
      <c r="K3" s="60">
        <f>AVERAGE($E$4:$E$63)</f>
        <v>1.1331731707193907E-2</v>
      </c>
      <c r="L3" s="60">
        <f>AVERAGE($E$26:$E$63)</f>
        <v>1.6297547928586828E-2</v>
      </c>
    </row>
    <row r="4" spans="1:12">
      <c r="A4" s="61">
        <v>44136</v>
      </c>
      <c r="B4" s="62">
        <v>3623.2</v>
      </c>
      <c r="C4" s="63">
        <f t="shared" ref="C4:C64" si="0">B4/B3-1</f>
        <v>0.10981100866848403</v>
      </c>
      <c r="D4" s="110">
        <v>15.51</v>
      </c>
      <c r="E4" s="63">
        <f>D4/D3-1</f>
        <v>8.9950808151791906E-2</v>
      </c>
      <c r="F4" s="54"/>
      <c r="G4" s="54"/>
      <c r="H4" s="57" t="s">
        <v>185</v>
      </c>
      <c r="I4" s="60">
        <f>MEDIAN($C$4:$C$63)</f>
        <v>2.0291288090299231E-2</v>
      </c>
      <c r="J4" s="60">
        <f>MEDIAN($C$26:$C$63)</f>
        <v>1.9669463393379272E-2</v>
      </c>
      <c r="K4" s="60">
        <f>MEDIAN($E$4:$E$63)</f>
        <v>1.3312551967704866E-2</v>
      </c>
      <c r="L4" s="60">
        <f>MEDIAN($E$26:$E$63)</f>
        <v>2.1216129549462948E-2</v>
      </c>
    </row>
    <row r="5" spans="1:12">
      <c r="A5" s="61">
        <v>44166</v>
      </c>
      <c r="B5" s="62">
        <v>3748.8</v>
      </c>
      <c r="C5" s="63">
        <f t="shared" si="0"/>
        <v>3.4665489070434985E-2</v>
      </c>
      <c r="D5" s="110">
        <v>15.52</v>
      </c>
      <c r="E5" s="63">
        <f>D5/D4-1</f>
        <v>6.4474532559644082E-4</v>
      </c>
      <c r="F5" s="54"/>
      <c r="G5" s="54"/>
      <c r="H5" s="57" t="s">
        <v>186</v>
      </c>
      <c r="I5" s="60">
        <f>STDEV($C$4:$C$63)</f>
        <v>4.5322501075709537E-2</v>
      </c>
      <c r="J5" s="60">
        <f>STDEV($C$26:$C$63)</f>
        <v>4.1391300492894897E-2</v>
      </c>
      <c r="K5" s="60">
        <f>STDEV($E$4:$E$63)</f>
        <v>6.809692857490407E-2</v>
      </c>
      <c r="L5" s="60">
        <f>STDEV($E$26:$E$63)</f>
        <v>7.2454941277015558E-2</v>
      </c>
    </row>
    <row r="6" spans="1:12">
      <c r="A6" s="61">
        <v>44197</v>
      </c>
      <c r="B6" s="62">
        <v>3705.2</v>
      </c>
      <c r="C6" s="63">
        <f t="shared" si="0"/>
        <v>-1.1630388390951873E-2</v>
      </c>
      <c r="D6" s="110">
        <v>15.45</v>
      </c>
      <c r="E6" s="63">
        <f t="shared" ref="E6:E63" si="1">D6/D5-1</f>
        <v>-4.5103092783504994E-3</v>
      </c>
      <c r="F6" s="54"/>
      <c r="G6" s="54"/>
      <c r="H6" s="54"/>
      <c r="I6" s="54"/>
      <c r="J6" s="54"/>
      <c r="K6" s="54"/>
      <c r="L6" s="54"/>
    </row>
    <row r="7" spans="1:12">
      <c r="A7" s="61">
        <v>44228</v>
      </c>
      <c r="B7" s="62">
        <v>3809.2</v>
      </c>
      <c r="C7" s="63">
        <f t="shared" si="0"/>
        <v>2.8068660261254541E-2</v>
      </c>
      <c r="D7" s="110">
        <v>15.4</v>
      </c>
      <c r="E7" s="63">
        <f>D7/D6-1</f>
        <v>-3.2362459546925182E-3</v>
      </c>
      <c r="F7" s="54"/>
      <c r="G7" s="54"/>
      <c r="H7" s="57"/>
      <c r="I7" s="117" t="s">
        <v>254</v>
      </c>
      <c r="J7" s="117"/>
      <c r="K7" s="54"/>
      <c r="L7" s="54"/>
    </row>
    <row r="8" spans="1:12">
      <c r="A8" s="61">
        <v>44256</v>
      </c>
      <c r="B8" s="62">
        <v>3967.4</v>
      </c>
      <c r="C8" s="63">
        <f t="shared" si="0"/>
        <v>4.1531030137561764E-2</v>
      </c>
      <c r="D8" s="110">
        <v>16.72</v>
      </c>
      <c r="E8" s="63">
        <f t="shared" si="1"/>
        <v>8.5714285714285632E-2</v>
      </c>
      <c r="F8" s="54"/>
      <c r="G8" s="54"/>
      <c r="H8" s="57" t="s">
        <v>133</v>
      </c>
      <c r="I8" s="57">
        <f>SLOPE(E4:E63,C4:C63)</f>
        <v>0.41254502998209153</v>
      </c>
      <c r="J8" s="57">
        <f>SLOPE(C4:C63,E4:E63)</f>
        <v>0.18274438732123591</v>
      </c>
      <c r="K8" s="54"/>
    </row>
    <row r="9" spans="1:12">
      <c r="A9" s="61">
        <v>44287</v>
      </c>
      <c r="B9" s="62">
        <v>4174.3999999999996</v>
      </c>
      <c r="C9" s="63">
        <f t="shared" si="0"/>
        <v>5.2175228109089034E-2</v>
      </c>
      <c r="D9" s="110">
        <v>17.350000000000001</v>
      </c>
      <c r="E9" s="63">
        <f t="shared" si="1"/>
        <v>3.7679425837320757E-2</v>
      </c>
      <c r="F9" s="54"/>
      <c r="G9" s="54"/>
      <c r="H9" s="57" t="s">
        <v>187</v>
      </c>
      <c r="I9" s="57">
        <f>INTERCEPT(E4:E63,C4:C63)</f>
        <v>5.7638252959875862E-3</v>
      </c>
      <c r="J9" s="57">
        <f>INTERCEPT(C4:C63,E4:E63)</f>
        <v>1.1425671243713053E-2</v>
      </c>
      <c r="K9" s="54"/>
      <c r="L9" s="54"/>
    </row>
    <row r="10" spans="1:12">
      <c r="A10" s="61">
        <v>44317</v>
      </c>
      <c r="B10" s="62">
        <v>4202.3999999999996</v>
      </c>
      <c r="C10" s="63">
        <f t="shared" si="0"/>
        <v>6.7075507857417005E-3</v>
      </c>
      <c r="D10" s="110">
        <v>16.63</v>
      </c>
      <c r="E10" s="63">
        <f t="shared" si="1"/>
        <v>-4.1498559077809971E-2</v>
      </c>
      <c r="F10" s="54"/>
      <c r="G10" s="54"/>
      <c r="H10" s="57" t="s">
        <v>188</v>
      </c>
      <c r="I10" s="57">
        <f>RSQ(E4:E63,C4:C63)</f>
        <v>7.539028874649821E-2</v>
      </c>
      <c r="J10" s="57">
        <f>RSQ(C4:C63,E4:E63)</f>
        <v>7.539028874649821E-2</v>
      </c>
      <c r="K10" s="54"/>
      <c r="L10" s="54"/>
    </row>
    <row r="11" spans="1:12">
      <c r="A11" s="61">
        <v>44348</v>
      </c>
      <c r="B11" s="62">
        <v>4288.6000000000004</v>
      </c>
      <c r="C11" s="63">
        <f t="shared" si="0"/>
        <v>2.0512088330477907E-2</v>
      </c>
      <c r="D11" s="110">
        <v>16.260000000000002</v>
      </c>
      <c r="E11" s="63">
        <f t="shared" si="1"/>
        <v>-2.2248947684906595E-2</v>
      </c>
      <c r="F11" s="54"/>
      <c r="G11" s="54"/>
      <c r="H11" s="54"/>
      <c r="I11" s="54"/>
      <c r="J11" s="54"/>
      <c r="K11" s="54"/>
      <c r="L11" s="54"/>
    </row>
    <row r="12" spans="1:12">
      <c r="A12" s="61">
        <v>44378</v>
      </c>
      <c r="B12" s="62">
        <v>4389.5</v>
      </c>
      <c r="C12" s="63">
        <f t="shared" si="0"/>
        <v>2.3527491489063967E-2</v>
      </c>
      <c r="D12" s="110">
        <v>15.85</v>
      </c>
      <c r="E12" s="63">
        <f t="shared" si="1"/>
        <v>-2.5215252152521628E-2</v>
      </c>
      <c r="F12" s="54"/>
      <c r="G12" s="54"/>
      <c r="H12" s="118" t="s">
        <v>166</v>
      </c>
      <c r="I12" s="118"/>
      <c r="J12" s="54"/>
      <c r="K12" s="54"/>
      <c r="L12" s="54"/>
    </row>
    <row r="13" spans="1:12">
      <c r="A13" s="61">
        <v>44409</v>
      </c>
      <c r="B13" s="62">
        <v>4520.5</v>
      </c>
      <c r="C13" s="63">
        <f t="shared" si="0"/>
        <v>2.9843945779701508E-2</v>
      </c>
      <c r="D13" s="110">
        <v>15.87</v>
      </c>
      <c r="E13" s="63">
        <f t="shared" si="1"/>
        <v>1.2618296529969264E-3</v>
      </c>
      <c r="F13" s="54"/>
      <c r="G13" s="54"/>
      <c r="H13" s="64" t="s">
        <v>189</v>
      </c>
      <c r="I13" s="112">
        <v>4.0809999999999999E-2</v>
      </c>
      <c r="J13" s="54"/>
      <c r="K13" s="54"/>
    </row>
    <row r="14" spans="1:12">
      <c r="A14" s="61">
        <v>44440</v>
      </c>
      <c r="B14" s="62">
        <v>4297.75</v>
      </c>
      <c r="C14" s="63">
        <f t="shared" si="0"/>
        <v>-4.9275522619179335E-2</v>
      </c>
      <c r="D14" s="110">
        <v>15.63</v>
      </c>
      <c r="E14" s="63">
        <f t="shared" si="1"/>
        <v>-1.512287334593565E-2</v>
      </c>
      <c r="F14" s="54"/>
      <c r="G14" s="54"/>
      <c r="H14" s="57" t="s">
        <v>134</v>
      </c>
      <c r="I14" s="113">
        <v>5.2499999999999998E-2</v>
      </c>
      <c r="J14" s="54"/>
      <c r="K14" s="54"/>
      <c r="L14" s="54"/>
    </row>
    <row r="15" spans="1:12">
      <c r="A15" s="61">
        <v>44470</v>
      </c>
      <c r="B15" s="62">
        <v>4597</v>
      </c>
      <c r="C15" s="63">
        <f t="shared" si="0"/>
        <v>6.9629457274155149E-2</v>
      </c>
      <c r="D15" s="110">
        <v>14.62</v>
      </c>
      <c r="E15" s="63">
        <f t="shared" si="1"/>
        <v>-6.4619321817018682E-2</v>
      </c>
      <c r="F15" s="54"/>
      <c r="G15" s="54"/>
      <c r="H15" s="57" t="s">
        <v>133</v>
      </c>
      <c r="I15" s="114">
        <f>I8</f>
        <v>0.41254502998209153</v>
      </c>
      <c r="J15" s="54"/>
      <c r="K15" s="54"/>
      <c r="L15" s="54"/>
    </row>
    <row r="16" spans="1:12">
      <c r="A16" s="61">
        <v>44501</v>
      </c>
      <c r="B16" s="62">
        <v>4566.25</v>
      </c>
      <c r="C16" s="63">
        <f t="shared" si="0"/>
        <v>-6.6891450946269249E-3</v>
      </c>
      <c r="D16" s="110">
        <v>13.55</v>
      </c>
      <c r="E16" s="63">
        <f t="shared" si="1"/>
        <v>-7.3187414500683889E-2</v>
      </c>
      <c r="F16" s="54"/>
      <c r="G16" s="54"/>
      <c r="H16" s="57" t="s">
        <v>190</v>
      </c>
      <c r="I16" s="57">
        <v>0.09</v>
      </c>
      <c r="J16" s="54"/>
      <c r="K16" s="54"/>
      <c r="L16" s="54"/>
    </row>
    <row r="17" spans="1:12">
      <c r="A17" s="61">
        <v>44531</v>
      </c>
      <c r="B17" s="62">
        <v>4758.5</v>
      </c>
      <c r="C17" s="63">
        <f t="shared" si="0"/>
        <v>4.2102381604161021E-2</v>
      </c>
      <c r="D17" s="110">
        <v>14.6</v>
      </c>
      <c r="E17" s="63">
        <f t="shared" si="1"/>
        <v>7.7490774907748916E-2</v>
      </c>
      <c r="F17" s="54"/>
      <c r="G17" s="54"/>
      <c r="H17" s="65"/>
      <c r="I17" s="54"/>
      <c r="J17" s="54"/>
      <c r="K17" s="54"/>
      <c r="L17" s="54"/>
    </row>
    <row r="18" spans="1:12">
      <c r="A18" s="61">
        <v>44562</v>
      </c>
      <c r="B18" s="62">
        <v>4504.25</v>
      </c>
      <c r="C18" s="63">
        <f t="shared" si="0"/>
        <v>-5.3430702952611098E-2</v>
      </c>
      <c r="D18" s="110">
        <v>15.14</v>
      </c>
      <c r="E18" s="63">
        <f t="shared" si="1"/>
        <v>3.6986301369863028E-2</v>
      </c>
      <c r="F18" s="54"/>
      <c r="G18" s="54"/>
      <c r="H18" s="54"/>
      <c r="I18" s="54"/>
      <c r="J18" s="54"/>
      <c r="K18" s="54"/>
      <c r="L18" s="54"/>
    </row>
    <row r="19" spans="1:12">
      <c r="A19" s="61">
        <v>44593</v>
      </c>
      <c r="B19" s="62">
        <v>4368</v>
      </c>
      <c r="C19" s="63">
        <f t="shared" si="0"/>
        <v>-3.0249209080313033E-2</v>
      </c>
      <c r="D19" s="110">
        <v>14.44</v>
      </c>
      <c r="E19" s="63">
        <f t="shared" si="1"/>
        <v>-4.6235138705416179E-2</v>
      </c>
      <c r="F19" s="54"/>
      <c r="G19" s="54"/>
      <c r="H19" s="54"/>
      <c r="I19" s="54"/>
      <c r="J19" s="54"/>
      <c r="K19" s="54"/>
      <c r="L19" s="54"/>
    </row>
    <row r="20" spans="1:12">
      <c r="A20" s="61">
        <v>44621</v>
      </c>
      <c r="B20" s="62">
        <v>4530.75</v>
      </c>
      <c r="C20" s="63">
        <f t="shared" si="0"/>
        <v>3.7259615384615419E-2</v>
      </c>
      <c r="D20" s="110">
        <v>14.41</v>
      </c>
      <c r="E20" s="63">
        <f t="shared" si="1"/>
        <v>-2.0775623268697307E-3</v>
      </c>
      <c r="F20" s="54"/>
      <c r="G20" s="54"/>
      <c r="H20" s="54"/>
      <c r="I20" s="54"/>
      <c r="J20" s="54"/>
      <c r="K20" s="54"/>
      <c r="L20" s="54"/>
    </row>
    <row r="21" spans="1:12">
      <c r="A21" s="61">
        <v>44652</v>
      </c>
      <c r="B21" s="62">
        <v>4127.5</v>
      </c>
      <c r="C21" s="63">
        <f t="shared" si="0"/>
        <v>-8.9002924460630184E-2</v>
      </c>
      <c r="D21" s="110">
        <v>15.23</v>
      </c>
      <c r="E21" s="63">
        <f t="shared" si="1"/>
        <v>5.6904927133934802E-2</v>
      </c>
      <c r="F21" s="54"/>
      <c r="G21" s="54"/>
      <c r="H21" s="54"/>
      <c r="I21" s="54"/>
      <c r="J21" s="54"/>
      <c r="K21" s="54"/>
      <c r="L21" s="54"/>
    </row>
    <row r="22" spans="1:12">
      <c r="A22" s="61">
        <v>44682</v>
      </c>
      <c r="B22" s="62">
        <v>4131.25</v>
      </c>
      <c r="C22" s="63">
        <f t="shared" si="0"/>
        <v>9.0854027861908548E-4</v>
      </c>
      <c r="D22" s="110">
        <v>17.43</v>
      </c>
      <c r="E22" s="63">
        <f t="shared" si="1"/>
        <v>0.14445173998686789</v>
      </c>
      <c r="F22" s="54"/>
      <c r="G22" s="54"/>
      <c r="H22" s="54"/>
      <c r="I22" s="54"/>
      <c r="J22" s="54"/>
      <c r="K22" s="54"/>
      <c r="L22" s="54"/>
    </row>
    <row r="23" spans="1:12">
      <c r="A23" s="61">
        <v>44713</v>
      </c>
      <c r="B23" s="62">
        <v>3789.5</v>
      </c>
      <c r="C23" s="63">
        <f t="shared" si="0"/>
        <v>-8.2723146747352483E-2</v>
      </c>
      <c r="D23" s="110">
        <v>17.16</v>
      </c>
      <c r="E23" s="63">
        <f t="shared" si="1"/>
        <v>-1.5490533562822706E-2</v>
      </c>
      <c r="F23" s="54"/>
      <c r="G23" s="54"/>
      <c r="H23" s="54"/>
      <c r="I23" s="54"/>
      <c r="J23" s="54"/>
      <c r="K23" s="54"/>
      <c r="L23" s="54"/>
    </row>
    <row r="24" spans="1:12">
      <c r="A24" s="61">
        <v>44743</v>
      </c>
      <c r="B24" s="62">
        <v>4133.5</v>
      </c>
      <c r="C24" s="63">
        <f t="shared" si="0"/>
        <v>9.0777147380920908E-2</v>
      </c>
      <c r="D24" s="110">
        <v>15.38</v>
      </c>
      <c r="E24" s="63">
        <f t="shared" si="1"/>
        <v>-0.10372960372960371</v>
      </c>
      <c r="F24" s="54"/>
      <c r="G24" s="54"/>
      <c r="H24" s="54"/>
      <c r="I24" s="54"/>
      <c r="J24" s="54"/>
      <c r="K24" s="54"/>
      <c r="L24" s="54"/>
    </row>
    <row r="25" spans="1:12">
      <c r="A25" s="61">
        <v>44774</v>
      </c>
      <c r="B25" s="62">
        <v>3956.5</v>
      </c>
      <c r="C25" s="63">
        <f t="shared" si="0"/>
        <v>-4.282085399782265E-2</v>
      </c>
      <c r="D25" s="110">
        <v>14.56</v>
      </c>
      <c r="E25" s="63">
        <f t="shared" si="1"/>
        <v>-5.3315994798439514E-2</v>
      </c>
      <c r="F25" s="54"/>
      <c r="G25" s="54"/>
      <c r="H25" s="54"/>
      <c r="I25" s="54"/>
      <c r="J25" s="54"/>
      <c r="K25" s="54"/>
      <c r="L25" s="54"/>
    </row>
    <row r="26" spans="1:12">
      <c r="A26" s="61">
        <v>44805</v>
      </c>
      <c r="B26" s="62">
        <v>3601.5</v>
      </c>
      <c r="C26" s="63">
        <f t="shared" si="0"/>
        <v>-8.9725767723998429E-2</v>
      </c>
      <c r="D26" s="110">
        <v>12.73</v>
      </c>
      <c r="E26" s="63">
        <f t="shared" si="1"/>
        <v>-0.12568681318681318</v>
      </c>
      <c r="F26" s="54"/>
      <c r="G26" s="54"/>
      <c r="H26" s="54"/>
      <c r="I26" s="54"/>
      <c r="J26" s="54"/>
      <c r="K26" s="54"/>
      <c r="L26" s="54"/>
    </row>
    <row r="27" spans="1:12">
      <c r="A27" s="61">
        <v>44835</v>
      </c>
      <c r="B27" s="62">
        <v>3883</v>
      </c>
      <c r="C27" s="63">
        <f t="shared" si="0"/>
        <v>7.8161876995696211E-2</v>
      </c>
      <c r="D27" s="110">
        <v>15.13</v>
      </c>
      <c r="E27" s="63">
        <f t="shared" si="1"/>
        <v>0.18853102906520025</v>
      </c>
      <c r="F27" s="54"/>
      <c r="G27" s="54"/>
      <c r="H27" s="54"/>
      <c r="I27" s="54"/>
      <c r="J27" s="54"/>
      <c r="K27" s="54"/>
      <c r="L27" s="54"/>
    </row>
    <row r="28" spans="1:12">
      <c r="A28" s="61">
        <v>44866</v>
      </c>
      <c r="B28" s="62">
        <v>4081.25</v>
      </c>
      <c r="C28" s="63">
        <f t="shared" si="0"/>
        <v>5.105588462528976E-2</v>
      </c>
      <c r="D28" s="110">
        <v>16.28</v>
      </c>
      <c r="E28" s="63">
        <f t="shared" si="1"/>
        <v>7.6007931262392692E-2</v>
      </c>
      <c r="F28" s="54"/>
      <c r="G28" s="54"/>
      <c r="H28" s="54"/>
      <c r="I28" s="54"/>
      <c r="J28" s="54"/>
      <c r="K28" s="54"/>
      <c r="L28" s="54"/>
    </row>
    <row r="29" spans="1:12">
      <c r="A29" s="61">
        <v>44896</v>
      </c>
      <c r="B29" s="62">
        <v>3861</v>
      </c>
      <c r="C29" s="63">
        <f t="shared" si="0"/>
        <v>-5.3966309341500818E-2</v>
      </c>
      <c r="D29" s="110">
        <v>15.55</v>
      </c>
      <c r="E29" s="63">
        <f t="shared" si="1"/>
        <v>-4.4840294840294836E-2</v>
      </c>
      <c r="F29" s="54"/>
      <c r="G29" s="54"/>
      <c r="H29" s="54"/>
      <c r="I29" s="54"/>
      <c r="J29" s="54"/>
      <c r="K29" s="54"/>
      <c r="L29" s="54"/>
    </row>
    <row r="30" spans="1:12">
      <c r="A30" s="61">
        <v>44927</v>
      </c>
      <c r="B30" s="62">
        <v>4090</v>
      </c>
      <c r="C30" s="63">
        <f t="shared" si="0"/>
        <v>5.9311059311059289E-2</v>
      </c>
      <c r="D30" s="110">
        <v>17.2</v>
      </c>
      <c r="E30" s="63">
        <f t="shared" si="1"/>
        <v>0.10610932475884227</v>
      </c>
      <c r="F30" s="54"/>
      <c r="G30" s="54"/>
      <c r="H30" s="54"/>
      <c r="I30" s="54"/>
      <c r="J30" s="54"/>
      <c r="K30" s="54"/>
      <c r="L30" s="54"/>
    </row>
    <row r="31" spans="1:12">
      <c r="A31" s="61">
        <v>44958</v>
      </c>
      <c r="B31" s="62">
        <v>3975.5</v>
      </c>
      <c r="C31" s="63">
        <f t="shared" si="0"/>
        <v>-2.7995110024449876E-2</v>
      </c>
      <c r="D31" s="110">
        <v>16.2</v>
      </c>
      <c r="E31" s="63">
        <f t="shared" si="1"/>
        <v>-5.8139534883720922E-2</v>
      </c>
      <c r="F31" s="54"/>
      <c r="G31" s="54"/>
      <c r="H31" s="54"/>
      <c r="I31" s="54"/>
      <c r="J31" s="54"/>
      <c r="K31" s="54"/>
      <c r="L31" s="54"/>
    </row>
    <row r="32" spans="1:12">
      <c r="A32" s="61">
        <v>44986</v>
      </c>
      <c r="B32" s="62">
        <v>4137.75</v>
      </c>
      <c r="C32" s="63">
        <f t="shared" si="0"/>
        <v>4.0812476418060628E-2</v>
      </c>
      <c r="D32" s="110">
        <v>16.489999999999998</v>
      </c>
      <c r="E32" s="63">
        <f t="shared" si="1"/>
        <v>1.790123456790127E-2</v>
      </c>
      <c r="F32" s="54"/>
      <c r="G32" s="54"/>
      <c r="H32" s="54"/>
      <c r="I32" s="54"/>
      <c r="J32" s="54"/>
      <c r="K32" s="54"/>
      <c r="L32" s="54"/>
    </row>
    <row r="33" spans="1:12">
      <c r="A33" s="61">
        <v>45017</v>
      </c>
      <c r="B33" s="62">
        <v>4188.5</v>
      </c>
      <c r="C33" s="63">
        <f t="shared" si="0"/>
        <v>1.2265119932330482E-2</v>
      </c>
      <c r="D33" s="110">
        <v>15.14</v>
      </c>
      <c r="E33" s="63">
        <f t="shared" si="1"/>
        <v>-8.1867798665858027E-2</v>
      </c>
      <c r="F33" s="54"/>
      <c r="G33" s="54"/>
      <c r="H33" s="54"/>
      <c r="I33" s="54"/>
      <c r="J33" s="54"/>
      <c r="K33" s="54"/>
      <c r="L33" s="54"/>
    </row>
    <row r="34" spans="1:12">
      <c r="A34" s="61">
        <v>45047</v>
      </c>
      <c r="B34" s="62">
        <v>4190.5</v>
      </c>
      <c r="C34" s="63">
        <f t="shared" si="0"/>
        <v>4.7749791094653382E-4</v>
      </c>
      <c r="D34" s="110">
        <v>13.67</v>
      </c>
      <c r="E34" s="63">
        <f t="shared" si="1"/>
        <v>-9.7093791281373854E-2</v>
      </c>
      <c r="F34" s="54"/>
      <c r="G34" s="54"/>
      <c r="H34" s="54"/>
      <c r="I34" s="54"/>
      <c r="J34" s="54"/>
      <c r="K34" s="54"/>
      <c r="L34" s="54"/>
    </row>
    <row r="35" spans="1:12">
      <c r="A35" s="61">
        <v>45078</v>
      </c>
      <c r="B35" s="62">
        <v>4488.25</v>
      </c>
      <c r="C35" s="63">
        <f t="shared" si="0"/>
        <v>7.1053573559241245E-2</v>
      </c>
      <c r="D35" s="110">
        <v>13.86</v>
      </c>
      <c r="E35" s="63">
        <f t="shared" si="1"/>
        <v>1.3899049012435993E-2</v>
      </c>
      <c r="F35" s="54"/>
      <c r="G35" s="54"/>
      <c r="H35" s="54"/>
      <c r="I35" s="54"/>
      <c r="J35" s="54"/>
      <c r="K35" s="54"/>
      <c r="L35" s="54"/>
    </row>
    <row r="36" spans="1:12">
      <c r="A36" s="61">
        <v>45108</v>
      </c>
      <c r="B36" s="62">
        <v>4614.5</v>
      </c>
      <c r="C36" s="63">
        <f t="shared" si="0"/>
        <v>2.8129003509162809E-2</v>
      </c>
      <c r="D36" s="110">
        <v>12.62</v>
      </c>
      <c r="E36" s="63">
        <f t="shared" si="1"/>
        <v>-8.9466089466089471E-2</v>
      </c>
      <c r="F36" s="54"/>
      <c r="G36" s="54"/>
      <c r="H36" s="54"/>
      <c r="I36" s="54"/>
      <c r="J36" s="54"/>
      <c r="K36" s="54"/>
      <c r="L36" s="54"/>
    </row>
    <row r="37" spans="1:12">
      <c r="A37" s="61">
        <v>45139</v>
      </c>
      <c r="B37" s="62">
        <v>4516</v>
      </c>
      <c r="C37" s="63">
        <f t="shared" si="0"/>
        <v>-2.1345757936937937E-2</v>
      </c>
      <c r="D37" s="110">
        <v>13.08</v>
      </c>
      <c r="E37" s="63">
        <f t="shared" si="1"/>
        <v>3.6450079239302768E-2</v>
      </c>
      <c r="F37" s="54"/>
      <c r="G37" s="54"/>
      <c r="H37" s="54"/>
      <c r="I37" s="54"/>
      <c r="J37" s="54"/>
      <c r="K37" s="54"/>
      <c r="L37" s="54"/>
    </row>
    <row r="38" spans="1:12">
      <c r="A38" s="61">
        <v>45170</v>
      </c>
      <c r="B38" s="62">
        <v>4325.5</v>
      </c>
      <c r="C38" s="63">
        <f t="shared" si="0"/>
        <v>-4.2183348095659823E-2</v>
      </c>
      <c r="D38" s="110">
        <v>13.28</v>
      </c>
      <c r="E38" s="63">
        <f t="shared" si="1"/>
        <v>1.5290519877675823E-2</v>
      </c>
      <c r="F38" s="54"/>
      <c r="G38" s="54"/>
      <c r="H38" s="54"/>
      <c r="I38" s="54"/>
      <c r="J38" s="54"/>
      <c r="K38" s="54"/>
      <c r="L38" s="54"/>
    </row>
    <row r="39" spans="1:12">
      <c r="A39" s="61">
        <v>45200</v>
      </c>
      <c r="B39" s="62">
        <v>4212.25</v>
      </c>
      <c r="C39" s="63">
        <f t="shared" si="0"/>
        <v>-2.6181944283897862E-2</v>
      </c>
      <c r="D39" s="110">
        <v>13.62</v>
      </c>
      <c r="E39" s="63">
        <f t="shared" si="1"/>
        <v>2.5602409638554313E-2</v>
      </c>
      <c r="F39" s="54"/>
      <c r="G39" s="54"/>
      <c r="H39" s="54"/>
      <c r="I39" s="54"/>
      <c r="J39" s="54"/>
      <c r="K39" s="54"/>
      <c r="L39" s="54"/>
    </row>
    <row r="40" spans="1:12">
      <c r="A40" s="61">
        <v>45231</v>
      </c>
      <c r="B40" s="62">
        <v>4576.75</v>
      </c>
      <c r="C40" s="63">
        <f t="shared" si="0"/>
        <v>8.6533325419906326E-2</v>
      </c>
      <c r="D40" s="110">
        <v>14.93</v>
      </c>
      <c r="E40" s="63">
        <f t="shared" si="1"/>
        <v>9.618208516886928E-2</v>
      </c>
      <c r="F40" s="54"/>
      <c r="G40" s="54"/>
      <c r="H40" s="54"/>
      <c r="I40" s="54"/>
      <c r="J40" s="54"/>
      <c r="K40" s="54"/>
      <c r="L40" s="54"/>
    </row>
    <row r="41" spans="1:12">
      <c r="A41" s="61">
        <v>45261</v>
      </c>
      <c r="B41" s="62">
        <v>4820</v>
      </c>
      <c r="C41" s="63">
        <f t="shared" si="0"/>
        <v>5.3149068662260435E-2</v>
      </c>
      <c r="D41" s="110">
        <v>15.12</v>
      </c>
      <c r="E41" s="63">
        <f t="shared" si="1"/>
        <v>1.272605492297374E-2</v>
      </c>
      <c r="F41" s="54"/>
      <c r="G41" s="54"/>
      <c r="H41" s="54"/>
      <c r="I41" s="54"/>
      <c r="J41" s="54"/>
      <c r="K41" s="54"/>
      <c r="L41" s="54"/>
    </row>
    <row r="42" spans="1:12">
      <c r="A42" s="61">
        <v>45292</v>
      </c>
      <c r="B42" s="62">
        <v>4870.5</v>
      </c>
      <c r="C42" s="63">
        <f t="shared" si="0"/>
        <v>1.0477178423236477E-2</v>
      </c>
      <c r="D42" s="110">
        <v>15.94</v>
      </c>
      <c r="E42" s="63">
        <f t="shared" si="1"/>
        <v>5.4232804232804188E-2</v>
      </c>
      <c r="F42" s="54"/>
      <c r="G42" s="54"/>
      <c r="H42" s="54"/>
      <c r="I42" s="54"/>
      <c r="J42" s="54"/>
      <c r="K42" s="54"/>
      <c r="L42" s="54"/>
    </row>
    <row r="43" spans="1:12">
      <c r="A43" s="61">
        <v>45323</v>
      </c>
      <c r="B43" s="62">
        <v>5103.75</v>
      </c>
      <c r="C43" s="63">
        <f t="shared" si="0"/>
        <v>4.7890360332614623E-2</v>
      </c>
      <c r="D43" s="110">
        <v>15.51</v>
      </c>
      <c r="E43" s="63">
        <f t="shared" si="1"/>
        <v>-2.6976160602258492E-2</v>
      </c>
      <c r="F43" s="54"/>
      <c r="G43" s="54"/>
      <c r="H43" s="54"/>
      <c r="I43" s="54"/>
      <c r="J43" s="54"/>
      <c r="K43" s="54"/>
      <c r="L43" s="54"/>
    </row>
    <row r="44" spans="1:12">
      <c r="A44" s="61">
        <v>45352</v>
      </c>
      <c r="B44" s="62">
        <v>5308.5</v>
      </c>
      <c r="C44" s="63">
        <f t="shared" si="0"/>
        <v>4.0117560617193293E-2</v>
      </c>
      <c r="D44" s="110">
        <v>16.12</v>
      </c>
      <c r="E44" s="63">
        <f t="shared" si="1"/>
        <v>3.9329464861379781E-2</v>
      </c>
      <c r="F44" s="54"/>
      <c r="G44" s="54"/>
      <c r="H44" s="54"/>
      <c r="I44" s="54"/>
      <c r="J44" s="54"/>
      <c r="K44" s="54"/>
      <c r="L44" s="54"/>
    </row>
    <row r="45" spans="1:12">
      <c r="A45" s="61">
        <v>45383</v>
      </c>
      <c r="B45" s="62">
        <v>5067</v>
      </c>
      <c r="C45" s="63">
        <f t="shared" si="0"/>
        <v>-4.5493077140435156E-2</v>
      </c>
      <c r="D45" s="110">
        <v>15.47</v>
      </c>
      <c r="E45" s="63">
        <f t="shared" si="1"/>
        <v>-4.0322580645161255E-2</v>
      </c>
      <c r="F45" s="54"/>
      <c r="G45" s="54"/>
      <c r="H45" s="54"/>
      <c r="I45" s="54"/>
      <c r="J45" s="54"/>
      <c r="K45" s="54"/>
      <c r="L45" s="54"/>
    </row>
    <row r="46" spans="1:12">
      <c r="A46" s="61">
        <v>45413</v>
      </c>
      <c r="B46" s="62">
        <v>5295.5</v>
      </c>
      <c r="C46" s="63">
        <f t="shared" si="0"/>
        <v>4.5095717387014123E-2</v>
      </c>
      <c r="D46" s="110">
        <v>16.96</v>
      </c>
      <c r="E46" s="63">
        <f t="shared" si="1"/>
        <v>9.6315449256625829E-2</v>
      </c>
      <c r="F46" s="54"/>
      <c r="G46" s="54"/>
      <c r="H46" s="54"/>
      <c r="I46" s="54"/>
      <c r="J46" s="54"/>
      <c r="K46" s="54"/>
      <c r="L46" s="54"/>
    </row>
    <row r="47" spans="1:12">
      <c r="A47" s="61">
        <v>45444</v>
      </c>
      <c r="B47" s="62">
        <v>5521.5</v>
      </c>
      <c r="C47" s="63">
        <f t="shared" si="0"/>
        <v>4.2677745255405464E-2</v>
      </c>
      <c r="D47" s="110">
        <v>17.79</v>
      </c>
      <c r="E47" s="63">
        <f t="shared" si="1"/>
        <v>4.8938679245282835E-2</v>
      </c>
      <c r="F47" s="54"/>
      <c r="G47" s="54"/>
      <c r="H47" s="54"/>
      <c r="I47" s="54"/>
      <c r="J47" s="54"/>
      <c r="K47" s="54"/>
      <c r="L47" s="54"/>
    </row>
    <row r="48" spans="1:12">
      <c r="A48" s="61">
        <v>45474</v>
      </c>
      <c r="B48" s="62">
        <v>5558</v>
      </c>
      <c r="C48" s="63">
        <f t="shared" si="0"/>
        <v>6.6105225029431391E-3</v>
      </c>
      <c r="D48" s="110">
        <v>17.920000000000002</v>
      </c>
      <c r="E48" s="63">
        <f t="shared" si="1"/>
        <v>7.3074761101743491E-3</v>
      </c>
      <c r="F48" s="54"/>
      <c r="G48" s="54"/>
      <c r="H48" s="54"/>
      <c r="I48" s="54"/>
      <c r="J48" s="54"/>
      <c r="K48" s="54"/>
      <c r="L48" s="54"/>
    </row>
    <row r="49" spans="1:12">
      <c r="A49" s="61">
        <v>45505</v>
      </c>
      <c r="B49" s="62">
        <v>5661</v>
      </c>
      <c r="C49" s="63">
        <f t="shared" si="0"/>
        <v>1.8531845987765472E-2</v>
      </c>
      <c r="D49" s="110">
        <v>18.809999999999999</v>
      </c>
      <c r="E49" s="63">
        <f t="shared" si="1"/>
        <v>4.9665178571428381E-2</v>
      </c>
      <c r="F49" s="54"/>
      <c r="G49" s="54"/>
      <c r="H49" s="54"/>
      <c r="I49" s="54"/>
      <c r="J49" s="54"/>
      <c r="K49" s="54"/>
      <c r="L49" s="54"/>
    </row>
    <row r="50" spans="1:12">
      <c r="A50" s="61">
        <v>45536</v>
      </c>
      <c r="B50" s="62">
        <v>5814.25</v>
      </c>
      <c r="C50" s="63">
        <f t="shared" si="0"/>
        <v>2.7071188835894766E-2</v>
      </c>
      <c r="D50" s="110">
        <v>20.79</v>
      </c>
      <c r="E50" s="63">
        <f t="shared" si="1"/>
        <v>0.10526315789473695</v>
      </c>
      <c r="F50" s="54"/>
      <c r="G50" s="54"/>
      <c r="H50" s="54"/>
      <c r="I50" s="54"/>
      <c r="J50" s="54"/>
      <c r="K50" s="54"/>
      <c r="L50" s="54"/>
    </row>
    <row r="51" spans="1:12">
      <c r="A51" s="61">
        <v>45566</v>
      </c>
      <c r="B51" s="62">
        <v>5738.5</v>
      </c>
      <c r="C51" s="63">
        <f t="shared" si="0"/>
        <v>-1.3028335554886694E-2</v>
      </c>
      <c r="D51" s="110">
        <v>21.3</v>
      </c>
      <c r="E51" s="63">
        <f t="shared" si="1"/>
        <v>2.4531024531024626E-2</v>
      </c>
      <c r="F51" s="54"/>
      <c r="G51" s="54"/>
      <c r="H51" s="54"/>
      <c r="I51" s="54"/>
      <c r="J51" s="54"/>
      <c r="K51" s="54"/>
      <c r="L51" s="54"/>
    </row>
    <row r="52" spans="1:12">
      <c r="A52" s="61">
        <v>45597</v>
      </c>
      <c r="B52" s="62">
        <v>6051.5</v>
      </c>
      <c r="C52" s="63">
        <f t="shared" si="0"/>
        <v>5.4543870349394341E-2</v>
      </c>
      <c r="D52" s="110">
        <v>22.17</v>
      </c>
      <c r="E52" s="63">
        <f t="shared" si="1"/>
        <v>4.0845070422535157E-2</v>
      </c>
      <c r="F52" s="54"/>
      <c r="G52" s="54"/>
      <c r="H52" s="54"/>
      <c r="I52" s="54"/>
      <c r="J52" s="54"/>
      <c r="K52" s="54"/>
      <c r="L52" s="54"/>
    </row>
    <row r="53" spans="1:12">
      <c r="A53" s="61">
        <v>45627</v>
      </c>
      <c r="B53" s="62">
        <v>5935.75</v>
      </c>
      <c r="C53" s="63">
        <f t="shared" si="0"/>
        <v>-1.9127489052301105E-2</v>
      </c>
      <c r="D53" s="110">
        <v>21.79</v>
      </c>
      <c r="E53" s="63">
        <f t="shared" si="1"/>
        <v>-1.7140279657194557E-2</v>
      </c>
      <c r="F53" s="54"/>
      <c r="G53" s="54"/>
      <c r="H53" s="54"/>
      <c r="I53" s="54"/>
      <c r="J53" s="54"/>
      <c r="K53" s="54"/>
      <c r="L53" s="54"/>
    </row>
    <row r="54" spans="1:12">
      <c r="A54" s="61">
        <v>45658</v>
      </c>
      <c r="B54" s="62">
        <v>6067.25</v>
      </c>
      <c r="C54" s="63">
        <f t="shared" si="0"/>
        <v>2.2153897990986771E-2</v>
      </c>
      <c r="D54" s="110">
        <v>22.71</v>
      </c>
      <c r="E54" s="63">
        <f t="shared" si="1"/>
        <v>4.2221202386415912E-2</v>
      </c>
      <c r="F54" s="54"/>
      <c r="G54" s="54"/>
      <c r="H54" s="54"/>
      <c r="I54" s="54"/>
      <c r="J54" s="54"/>
      <c r="K54" s="54"/>
      <c r="L54" s="54"/>
    </row>
    <row r="55" spans="1:12">
      <c r="A55" s="61">
        <v>45689</v>
      </c>
      <c r="B55" s="62">
        <v>5963.25</v>
      </c>
      <c r="C55" s="63">
        <f t="shared" si="0"/>
        <v>-1.7141208949688957E-2</v>
      </c>
      <c r="D55" s="110">
        <v>26.57</v>
      </c>
      <c r="E55" s="63">
        <f t="shared" si="1"/>
        <v>0.16996917657419641</v>
      </c>
      <c r="F55" s="54"/>
      <c r="G55" s="54"/>
      <c r="H55" s="54"/>
      <c r="I55" s="54"/>
      <c r="J55" s="54"/>
      <c r="K55" s="54"/>
      <c r="L55" s="54"/>
    </row>
    <row r="56" spans="1:12">
      <c r="A56" s="61">
        <v>45717</v>
      </c>
      <c r="B56" s="62">
        <v>5653.25</v>
      </c>
      <c r="C56" s="63">
        <f t="shared" si="0"/>
        <v>-5.1985075252588775E-2</v>
      </c>
      <c r="D56" s="110">
        <v>27.41</v>
      </c>
      <c r="E56" s="63">
        <f t="shared" si="1"/>
        <v>3.1614602935641667E-2</v>
      </c>
      <c r="F56" s="54"/>
      <c r="G56" s="54"/>
      <c r="H56" s="54"/>
      <c r="I56" s="54"/>
      <c r="J56" s="54"/>
      <c r="K56" s="54"/>
      <c r="L56" s="54"/>
    </row>
    <row r="57" spans="1:12">
      <c r="A57" s="61">
        <v>45748</v>
      </c>
      <c r="B57" s="62">
        <v>5587</v>
      </c>
      <c r="C57" s="63">
        <f t="shared" si="0"/>
        <v>-1.1718922743554572E-2</v>
      </c>
      <c r="D57" s="110">
        <v>26.85</v>
      </c>
      <c r="E57" s="63">
        <f t="shared" si="1"/>
        <v>-2.0430499817584824E-2</v>
      </c>
      <c r="F57" s="54"/>
      <c r="G57" s="54"/>
      <c r="H57" s="54"/>
      <c r="I57" s="54"/>
      <c r="J57" s="54"/>
      <c r="K57" s="54"/>
      <c r="L57" s="54"/>
    </row>
    <row r="58" spans="1:12">
      <c r="A58" s="61">
        <v>45778</v>
      </c>
      <c r="B58" s="62">
        <v>5916</v>
      </c>
      <c r="C58" s="63">
        <f t="shared" si="0"/>
        <v>5.8886701270807196E-2</v>
      </c>
      <c r="D58" s="110">
        <v>27.23</v>
      </c>
      <c r="E58" s="63">
        <f t="shared" si="1"/>
        <v>1.4152700186219613E-2</v>
      </c>
      <c r="F58" s="54"/>
      <c r="G58" s="54"/>
      <c r="H58" s="54"/>
      <c r="I58" s="54"/>
      <c r="J58" s="54"/>
      <c r="K58" s="54"/>
      <c r="L58" s="54"/>
    </row>
    <row r="59" spans="1:12">
      <c r="A59" s="61">
        <v>45809</v>
      </c>
      <c r="B59" s="62">
        <v>6253.75</v>
      </c>
      <c r="C59" s="63">
        <f t="shared" si="0"/>
        <v>5.7090939824205433E-2</v>
      </c>
      <c r="D59" s="110">
        <v>28.35</v>
      </c>
      <c r="E59" s="63">
        <f t="shared" si="1"/>
        <v>4.1131105398457546E-2</v>
      </c>
      <c r="F59" s="54"/>
      <c r="G59" s="54"/>
      <c r="H59" s="54"/>
      <c r="I59" s="54"/>
      <c r="J59" s="54"/>
      <c r="K59" s="54"/>
      <c r="L59" s="54"/>
    </row>
    <row r="60" spans="1:12">
      <c r="A60" s="61">
        <v>45839</v>
      </c>
      <c r="B60" s="62">
        <v>6374.25</v>
      </c>
      <c r="C60" s="63">
        <f t="shared" si="0"/>
        <v>1.9268438936637988E-2</v>
      </c>
      <c r="D60" s="110">
        <v>26.85</v>
      </c>
      <c r="E60" s="63">
        <f t="shared" si="1"/>
        <v>-5.2910052910052907E-2</v>
      </c>
      <c r="F60" s="54"/>
      <c r="G60" s="54"/>
      <c r="H60" s="54"/>
      <c r="I60" s="54"/>
      <c r="J60" s="54"/>
      <c r="K60" s="54"/>
      <c r="L60" s="54"/>
    </row>
    <row r="61" spans="1:12">
      <c r="A61" s="61">
        <v>45870</v>
      </c>
      <c r="B61" s="62">
        <v>6472.75</v>
      </c>
      <c r="C61" s="63">
        <f t="shared" si="0"/>
        <v>1.5452798368435605E-2</v>
      </c>
      <c r="D61" s="110">
        <v>28.98</v>
      </c>
      <c r="E61" s="63">
        <f t="shared" si="1"/>
        <v>7.9329608938547347E-2</v>
      </c>
      <c r="F61" s="54"/>
      <c r="G61" s="54"/>
      <c r="H61" s="54"/>
      <c r="I61" s="54"/>
      <c r="J61" s="54"/>
      <c r="K61" s="54"/>
      <c r="L61" s="54"/>
    </row>
    <row r="62" spans="1:12">
      <c r="A62" s="61">
        <v>45901</v>
      </c>
      <c r="B62" s="62">
        <v>6738.75</v>
      </c>
      <c r="C62" s="63">
        <f t="shared" si="0"/>
        <v>4.1095361322467161E-2</v>
      </c>
      <c r="D62" s="110">
        <v>27.94</v>
      </c>
      <c r="E62" s="63">
        <f t="shared" si="1"/>
        <v>-3.5886818495514117E-2</v>
      </c>
      <c r="F62" s="54"/>
      <c r="G62" s="54"/>
      <c r="H62" s="54"/>
      <c r="I62" s="54"/>
      <c r="J62" s="54"/>
      <c r="K62" s="54"/>
      <c r="L62" s="54"/>
    </row>
    <row r="63" spans="1:12">
      <c r="A63" s="61">
        <v>45931</v>
      </c>
      <c r="B63" s="62">
        <v>6874</v>
      </c>
      <c r="C63" s="63">
        <f t="shared" si="0"/>
        <v>2.0070487850120555E-2</v>
      </c>
      <c r="D63" s="110">
        <v>24.49</v>
      </c>
      <c r="E63" s="63">
        <f t="shared" si="1"/>
        <v>-0.12347888332140311</v>
      </c>
      <c r="F63" s="54"/>
      <c r="G63" s="54"/>
      <c r="H63" s="54"/>
      <c r="I63" s="54"/>
      <c r="J63" s="54"/>
      <c r="K63" s="54"/>
      <c r="L63" s="54"/>
    </row>
    <row r="64" spans="1:12">
      <c r="A64" s="61">
        <v>45962</v>
      </c>
      <c r="B64" s="62">
        <v>6875.75</v>
      </c>
      <c r="C64" s="63">
        <f t="shared" si="0"/>
        <v>2.5458248472509659E-4</v>
      </c>
      <c r="D64" s="111">
        <v>25.43</v>
      </c>
      <c r="E64" s="63"/>
      <c r="F64" s="54"/>
      <c r="G64" s="54"/>
      <c r="H64" s="54"/>
      <c r="I64" s="54"/>
      <c r="J64" s="54"/>
      <c r="K64" s="54"/>
      <c r="L64" s="54"/>
    </row>
    <row r="65" spans="1:12">
      <c r="A65" s="66"/>
      <c r="B65" s="67"/>
      <c r="C65" s="63"/>
      <c r="D65" s="54"/>
      <c r="E65" s="54"/>
      <c r="F65" s="54"/>
      <c r="G65" s="54"/>
      <c r="H65" s="54"/>
      <c r="I65" s="54"/>
      <c r="J65" s="54"/>
      <c r="K65" s="54"/>
      <c r="L65" s="54"/>
    </row>
    <row r="66" spans="1:12">
      <c r="C66" s="68" t="s">
        <v>179</v>
      </c>
      <c r="D66" s="68" t="s">
        <v>191</v>
      </c>
      <c r="E66" s="68" t="s">
        <v>192</v>
      </c>
      <c r="F66" s="68" t="s">
        <v>193</v>
      </c>
      <c r="G66" s="68" t="s">
        <v>194</v>
      </c>
      <c r="H66" s="68" t="s">
        <v>195</v>
      </c>
      <c r="I66" s="68" t="s">
        <v>196</v>
      </c>
    </row>
    <row r="67" spans="1:12">
      <c r="C67" s="69">
        <v>44105</v>
      </c>
      <c r="D67" s="70">
        <v>21.54</v>
      </c>
      <c r="E67" s="70">
        <v>22.02</v>
      </c>
      <c r="F67" s="70">
        <v>19.899999999999999</v>
      </c>
      <c r="G67" s="70">
        <v>20.41</v>
      </c>
      <c r="H67" s="70">
        <v>14.23</v>
      </c>
      <c r="I67" s="71">
        <v>1248679758</v>
      </c>
    </row>
    <row r="68" spans="1:12">
      <c r="C68" s="69">
        <v>44136</v>
      </c>
      <c r="D68" s="70">
        <v>20.69</v>
      </c>
      <c r="E68" s="70">
        <v>22.24</v>
      </c>
      <c r="F68" s="70">
        <v>20.29</v>
      </c>
      <c r="G68" s="70">
        <v>21.71</v>
      </c>
      <c r="H68" s="70">
        <v>15.51</v>
      </c>
      <c r="I68" s="71">
        <v>971405428</v>
      </c>
    </row>
    <row r="69" spans="1:12">
      <c r="C69" s="69">
        <v>44166</v>
      </c>
      <c r="D69" s="70">
        <v>21.77</v>
      </c>
      <c r="E69" s="70">
        <v>24.09</v>
      </c>
      <c r="F69" s="70">
        <v>21.39</v>
      </c>
      <c r="G69" s="70">
        <v>21.72</v>
      </c>
      <c r="H69" s="70">
        <v>15.52</v>
      </c>
      <c r="I69" s="71">
        <v>1284157530</v>
      </c>
    </row>
    <row r="70" spans="1:12">
      <c r="C70" s="69">
        <v>44197</v>
      </c>
      <c r="D70" s="70">
        <v>22.2</v>
      </c>
      <c r="E70" s="70">
        <v>22.81</v>
      </c>
      <c r="F70" s="70">
        <v>21.5</v>
      </c>
      <c r="G70" s="70">
        <v>21.62</v>
      </c>
      <c r="H70" s="70">
        <v>15.45</v>
      </c>
      <c r="I70" s="71">
        <v>1224161530</v>
      </c>
    </row>
    <row r="71" spans="1:12">
      <c r="C71" s="69">
        <v>44228</v>
      </c>
      <c r="D71" s="70">
        <v>21.86</v>
      </c>
      <c r="E71" s="70">
        <v>22.52</v>
      </c>
      <c r="F71" s="70">
        <v>21.06</v>
      </c>
      <c r="G71" s="70">
        <v>21.06</v>
      </c>
      <c r="H71" s="70">
        <v>15.4</v>
      </c>
      <c r="I71" s="71">
        <v>998358098</v>
      </c>
    </row>
    <row r="72" spans="1:12">
      <c r="C72" s="69">
        <v>44256</v>
      </c>
      <c r="D72" s="70">
        <v>21.27</v>
      </c>
      <c r="E72" s="70">
        <v>23.32</v>
      </c>
      <c r="F72" s="70">
        <v>21.16</v>
      </c>
      <c r="G72" s="70">
        <v>22.86</v>
      </c>
      <c r="H72" s="70">
        <v>16.72</v>
      </c>
      <c r="I72" s="71">
        <v>1398177232</v>
      </c>
    </row>
    <row r="73" spans="1:12">
      <c r="C73" s="69">
        <v>44287</v>
      </c>
      <c r="D73" s="70">
        <v>22.84</v>
      </c>
      <c r="E73" s="70">
        <v>24.09</v>
      </c>
      <c r="F73" s="70">
        <v>22.13</v>
      </c>
      <c r="G73" s="70">
        <v>23.72</v>
      </c>
      <c r="H73" s="70">
        <v>17.350000000000001</v>
      </c>
      <c r="I73" s="71">
        <v>1058549388</v>
      </c>
    </row>
    <row r="74" spans="1:12">
      <c r="C74" s="69">
        <v>44317</v>
      </c>
      <c r="D74" s="70">
        <v>24</v>
      </c>
      <c r="E74" s="70">
        <v>25.59</v>
      </c>
      <c r="F74" s="70">
        <v>21.65</v>
      </c>
      <c r="G74" s="70">
        <v>22.23</v>
      </c>
      <c r="H74" s="70">
        <v>16.63</v>
      </c>
      <c r="I74" s="71">
        <v>1665976094</v>
      </c>
    </row>
    <row r="75" spans="1:12">
      <c r="C75" s="69">
        <v>44348</v>
      </c>
      <c r="D75" s="70">
        <v>22.25</v>
      </c>
      <c r="E75" s="70">
        <v>22.39</v>
      </c>
      <c r="F75" s="70">
        <v>21.46</v>
      </c>
      <c r="G75" s="70">
        <v>21.74</v>
      </c>
      <c r="H75" s="70">
        <v>16.260000000000002</v>
      </c>
      <c r="I75" s="71">
        <v>1032169347</v>
      </c>
    </row>
    <row r="76" spans="1:12">
      <c r="C76" s="69">
        <v>44378</v>
      </c>
      <c r="D76" s="70">
        <v>21.82</v>
      </c>
      <c r="E76" s="70">
        <v>22.17</v>
      </c>
      <c r="F76" s="70">
        <v>20.77</v>
      </c>
      <c r="G76" s="70">
        <v>21.19</v>
      </c>
      <c r="H76" s="70">
        <v>15.85</v>
      </c>
      <c r="I76" s="71">
        <v>935588977</v>
      </c>
    </row>
    <row r="77" spans="1:12">
      <c r="C77" s="69">
        <v>44409</v>
      </c>
      <c r="D77" s="70">
        <v>21.33</v>
      </c>
      <c r="E77" s="70">
        <v>21.56</v>
      </c>
      <c r="F77" s="70">
        <v>20.3</v>
      </c>
      <c r="G77" s="70">
        <v>20.71</v>
      </c>
      <c r="H77" s="70">
        <v>15.87</v>
      </c>
      <c r="I77" s="71">
        <v>789806781</v>
      </c>
    </row>
    <row r="78" spans="1:12">
      <c r="C78" s="69">
        <v>44440</v>
      </c>
      <c r="D78" s="70">
        <v>20.73</v>
      </c>
      <c r="E78" s="70">
        <v>21.1</v>
      </c>
      <c r="F78" s="70">
        <v>20.350000000000001</v>
      </c>
      <c r="G78" s="70">
        <v>20.399999999999999</v>
      </c>
      <c r="H78" s="70">
        <v>15.63</v>
      </c>
      <c r="I78" s="71">
        <v>984413994</v>
      </c>
    </row>
    <row r="79" spans="1:12">
      <c r="C79" s="69">
        <v>44470</v>
      </c>
      <c r="D79" s="70">
        <v>20.5</v>
      </c>
      <c r="E79" s="70">
        <v>20.76</v>
      </c>
      <c r="F79" s="70">
        <v>18.89</v>
      </c>
      <c r="G79" s="70">
        <v>19.079999999999998</v>
      </c>
      <c r="H79" s="70">
        <v>14.62</v>
      </c>
      <c r="I79" s="71">
        <v>1339836364</v>
      </c>
    </row>
    <row r="80" spans="1:12">
      <c r="C80" s="69">
        <v>44501</v>
      </c>
      <c r="D80" s="70">
        <v>19.23</v>
      </c>
      <c r="E80" s="70">
        <v>19.32</v>
      </c>
      <c r="F80" s="70">
        <v>17.03</v>
      </c>
      <c r="G80" s="70">
        <v>17.239999999999998</v>
      </c>
      <c r="H80" s="70">
        <v>13.55</v>
      </c>
      <c r="I80" s="71">
        <v>1278172519</v>
      </c>
    </row>
    <row r="81" spans="3:9">
      <c r="C81" s="69">
        <v>44531</v>
      </c>
      <c r="D81" s="70">
        <v>17.37</v>
      </c>
      <c r="E81" s="70">
        <v>18.97</v>
      </c>
      <c r="F81" s="70">
        <v>16.63</v>
      </c>
      <c r="G81" s="70">
        <v>18.579999999999998</v>
      </c>
      <c r="H81" s="70">
        <v>14.6</v>
      </c>
      <c r="I81" s="71">
        <v>1834795096</v>
      </c>
    </row>
    <row r="82" spans="3:9">
      <c r="C82" s="69">
        <v>44562</v>
      </c>
      <c r="D82" s="70">
        <v>18.72</v>
      </c>
      <c r="E82" s="70">
        <v>20.76</v>
      </c>
      <c r="F82" s="70">
        <v>17.79</v>
      </c>
      <c r="G82" s="70">
        <v>19.260000000000002</v>
      </c>
      <c r="H82" s="70">
        <v>15.14</v>
      </c>
      <c r="I82" s="71">
        <v>1828521981</v>
      </c>
    </row>
    <row r="83" spans="3:9">
      <c r="C83" s="69">
        <v>44593</v>
      </c>
      <c r="D83" s="70">
        <v>18.27</v>
      </c>
      <c r="E83" s="70">
        <v>18.809999999999999</v>
      </c>
      <c r="F83" s="70">
        <v>17.11</v>
      </c>
      <c r="G83" s="70">
        <v>17.89</v>
      </c>
      <c r="H83" s="70">
        <v>14.44</v>
      </c>
      <c r="I83" s="71">
        <v>1300035599</v>
      </c>
    </row>
    <row r="84" spans="3:9">
      <c r="C84" s="69">
        <v>44621</v>
      </c>
      <c r="D84" s="70">
        <v>17.829999999999998</v>
      </c>
      <c r="E84" s="70">
        <v>18.239999999999998</v>
      </c>
      <c r="F84" s="70">
        <v>17.23</v>
      </c>
      <c r="G84" s="70">
        <v>17.850000000000001</v>
      </c>
      <c r="H84" s="70">
        <v>14.41</v>
      </c>
      <c r="I84" s="71">
        <v>1210104223</v>
      </c>
    </row>
    <row r="85" spans="3:9">
      <c r="C85" s="69">
        <v>44652</v>
      </c>
      <c r="D85" s="70">
        <v>17.920000000000002</v>
      </c>
      <c r="E85" s="70">
        <v>20.350000000000001</v>
      </c>
      <c r="F85" s="70">
        <v>17.670000000000002</v>
      </c>
      <c r="G85" s="70">
        <v>18.86</v>
      </c>
      <c r="H85" s="70">
        <v>15.23</v>
      </c>
      <c r="I85" s="71">
        <v>1346823217</v>
      </c>
    </row>
    <row r="86" spans="3:9">
      <c r="C86" s="69">
        <v>44682</v>
      </c>
      <c r="D86" s="70">
        <v>19</v>
      </c>
      <c r="E86" s="70">
        <v>21.53</v>
      </c>
      <c r="F86" s="70">
        <v>18.86</v>
      </c>
      <c r="G86" s="70">
        <v>21.29</v>
      </c>
      <c r="H86" s="70">
        <v>17.43</v>
      </c>
      <c r="I86" s="71">
        <v>1005195300</v>
      </c>
    </row>
    <row r="87" spans="3:9">
      <c r="C87" s="69">
        <v>44713</v>
      </c>
      <c r="D87" s="70">
        <v>21.44</v>
      </c>
      <c r="E87" s="70">
        <v>21.47</v>
      </c>
      <c r="F87" s="70">
        <v>18.670000000000002</v>
      </c>
      <c r="G87" s="70">
        <v>20.96</v>
      </c>
      <c r="H87" s="70">
        <v>17.16</v>
      </c>
      <c r="I87" s="71">
        <v>838975300</v>
      </c>
    </row>
    <row r="88" spans="3:9">
      <c r="C88" s="69">
        <v>44743</v>
      </c>
      <c r="D88" s="70">
        <v>20.97</v>
      </c>
      <c r="E88" s="70">
        <v>21.39</v>
      </c>
      <c r="F88" s="70">
        <v>18.18</v>
      </c>
      <c r="G88" s="70">
        <v>18.78</v>
      </c>
      <c r="H88" s="70">
        <v>15.38</v>
      </c>
      <c r="I88" s="71">
        <v>743894600</v>
      </c>
    </row>
    <row r="89" spans="3:9">
      <c r="C89" s="69">
        <v>44774</v>
      </c>
      <c r="D89" s="70">
        <v>18.850000000000001</v>
      </c>
      <c r="E89" s="70">
        <v>18.87</v>
      </c>
      <c r="F89" s="70">
        <v>17.510000000000002</v>
      </c>
      <c r="G89" s="70">
        <v>17.54</v>
      </c>
      <c r="H89" s="70">
        <v>14.56</v>
      </c>
      <c r="I89" s="71">
        <v>769649200</v>
      </c>
    </row>
    <row r="90" spans="3:9">
      <c r="C90" s="69">
        <v>44805</v>
      </c>
      <c r="D90" s="70">
        <v>17.489999999999998</v>
      </c>
      <c r="E90" s="70">
        <v>17.670000000000002</v>
      </c>
      <c r="F90" s="70">
        <v>15.34</v>
      </c>
      <c r="G90" s="70">
        <v>15.34</v>
      </c>
      <c r="H90" s="70">
        <v>12.73</v>
      </c>
      <c r="I90" s="71">
        <v>958698100</v>
      </c>
    </row>
    <row r="91" spans="3:9">
      <c r="C91" s="69">
        <v>44835</v>
      </c>
      <c r="D91" s="70">
        <v>15.73</v>
      </c>
      <c r="E91" s="70">
        <v>18.59</v>
      </c>
      <c r="F91" s="70">
        <v>14.46</v>
      </c>
      <c r="G91" s="70">
        <v>18.23</v>
      </c>
      <c r="H91" s="70">
        <v>15.13</v>
      </c>
      <c r="I91" s="71">
        <v>1188340400</v>
      </c>
    </row>
    <row r="92" spans="3:9">
      <c r="C92" s="69">
        <v>44866</v>
      </c>
      <c r="D92" s="70">
        <v>18.57</v>
      </c>
      <c r="E92" s="70">
        <v>19.39</v>
      </c>
      <c r="F92" s="70">
        <v>18.07</v>
      </c>
      <c r="G92" s="70">
        <v>19.28</v>
      </c>
      <c r="H92" s="70">
        <v>16.28</v>
      </c>
      <c r="I92" s="71">
        <v>803114100</v>
      </c>
    </row>
    <row r="93" spans="3:9">
      <c r="C93" s="69">
        <v>44896</v>
      </c>
      <c r="D93" s="70">
        <v>19.29</v>
      </c>
      <c r="E93" s="70">
        <v>19.52</v>
      </c>
      <c r="F93" s="70">
        <v>17.64</v>
      </c>
      <c r="G93" s="70">
        <v>18.41</v>
      </c>
      <c r="H93" s="70">
        <v>15.55</v>
      </c>
      <c r="I93" s="71">
        <v>824021900</v>
      </c>
    </row>
    <row r="94" spans="3:9">
      <c r="C94" s="69">
        <v>44927</v>
      </c>
      <c r="D94" s="70">
        <v>18.510000000000002</v>
      </c>
      <c r="E94" s="70">
        <v>21.53</v>
      </c>
      <c r="F94" s="70">
        <v>18.41</v>
      </c>
      <c r="G94" s="70">
        <v>20.37</v>
      </c>
      <c r="H94" s="70">
        <v>17.2</v>
      </c>
      <c r="I94" s="71">
        <v>777779600</v>
      </c>
    </row>
    <row r="95" spans="3:9">
      <c r="C95" s="69">
        <v>44958</v>
      </c>
      <c r="D95" s="70">
        <v>20.47</v>
      </c>
      <c r="E95" s="70">
        <v>20.5</v>
      </c>
      <c r="F95" s="70">
        <v>18.829999999999998</v>
      </c>
      <c r="G95" s="70">
        <v>18.91</v>
      </c>
      <c r="H95" s="70">
        <v>16.2</v>
      </c>
      <c r="I95" s="71">
        <v>563079500</v>
      </c>
    </row>
    <row r="96" spans="3:9">
      <c r="C96" s="69">
        <v>44986</v>
      </c>
      <c r="D96" s="70">
        <v>18.829999999999998</v>
      </c>
      <c r="E96" s="70">
        <v>19.25</v>
      </c>
      <c r="F96" s="70">
        <v>18.03</v>
      </c>
      <c r="G96" s="70">
        <v>19.25</v>
      </c>
      <c r="H96" s="70">
        <v>16.489999999999998</v>
      </c>
      <c r="I96" s="71">
        <v>660086700</v>
      </c>
    </row>
    <row r="97" spans="3:9">
      <c r="C97" s="69">
        <v>45017</v>
      </c>
      <c r="D97" s="70">
        <v>19.27</v>
      </c>
      <c r="E97" s="70">
        <v>19.989999999999998</v>
      </c>
      <c r="F97" s="70">
        <v>17.190000000000001</v>
      </c>
      <c r="G97" s="70">
        <v>17.670000000000002</v>
      </c>
      <c r="H97" s="70">
        <v>15.14</v>
      </c>
      <c r="I97" s="71">
        <v>777362300</v>
      </c>
    </row>
    <row r="98" spans="3:9">
      <c r="C98" s="69">
        <v>45047</v>
      </c>
      <c r="D98" s="70">
        <v>17.739999999999998</v>
      </c>
      <c r="E98" s="70">
        <v>17.760000000000002</v>
      </c>
      <c r="F98" s="70">
        <v>15</v>
      </c>
      <c r="G98" s="70">
        <v>15.73</v>
      </c>
      <c r="H98" s="70">
        <v>13.67</v>
      </c>
      <c r="I98" s="71">
        <v>860967600</v>
      </c>
    </row>
    <row r="99" spans="3:9">
      <c r="C99" s="69">
        <v>45078</v>
      </c>
      <c r="D99" s="70">
        <v>15.75</v>
      </c>
      <c r="E99" s="70">
        <v>16.13</v>
      </c>
      <c r="F99" s="70">
        <v>14.85</v>
      </c>
      <c r="G99" s="70">
        <v>15.95</v>
      </c>
      <c r="H99" s="70">
        <v>13.86</v>
      </c>
      <c r="I99" s="71">
        <v>804580900</v>
      </c>
    </row>
    <row r="100" spans="3:9">
      <c r="C100" s="69">
        <v>45108</v>
      </c>
      <c r="D100" s="70">
        <v>15.95</v>
      </c>
      <c r="E100" s="70">
        <v>16.23</v>
      </c>
      <c r="F100" s="70">
        <v>13.43</v>
      </c>
      <c r="G100" s="70">
        <v>14.52</v>
      </c>
      <c r="H100" s="70">
        <v>12.62</v>
      </c>
      <c r="I100" s="71">
        <v>1286010600</v>
      </c>
    </row>
    <row r="101" spans="3:9">
      <c r="C101" s="69">
        <v>45139</v>
      </c>
      <c r="D101" s="70">
        <v>14.56</v>
      </c>
      <c r="E101" s="70">
        <v>14.99</v>
      </c>
      <c r="F101" s="70">
        <v>13.89</v>
      </c>
      <c r="G101" s="70">
        <v>14.79</v>
      </c>
      <c r="H101" s="70">
        <v>13.08</v>
      </c>
      <c r="I101" s="71">
        <v>814063900</v>
      </c>
    </row>
    <row r="102" spans="3:9">
      <c r="C102" s="69">
        <v>45170</v>
      </c>
      <c r="D102" s="70">
        <v>14.81</v>
      </c>
      <c r="E102" s="70">
        <v>15.73</v>
      </c>
      <c r="F102" s="70">
        <v>14.32</v>
      </c>
      <c r="G102" s="70">
        <v>15.02</v>
      </c>
      <c r="H102" s="70">
        <v>13.28</v>
      </c>
      <c r="I102" s="71">
        <v>700361400</v>
      </c>
    </row>
    <row r="103" spans="3:9">
      <c r="C103" s="69">
        <v>45200</v>
      </c>
      <c r="D103" s="70">
        <v>15.04</v>
      </c>
      <c r="E103" s="70">
        <v>15.91</v>
      </c>
      <c r="F103" s="70">
        <v>14.12</v>
      </c>
      <c r="G103" s="70">
        <v>15.4</v>
      </c>
      <c r="H103" s="70">
        <v>13.62</v>
      </c>
      <c r="I103" s="71">
        <v>950762300</v>
      </c>
    </row>
    <row r="104" spans="3:9">
      <c r="C104" s="69">
        <v>45231</v>
      </c>
      <c r="D104" s="70">
        <v>15.49</v>
      </c>
      <c r="E104" s="70">
        <v>16.600000000000001</v>
      </c>
      <c r="F104" s="70">
        <v>15.43</v>
      </c>
      <c r="G104" s="70">
        <v>16.57</v>
      </c>
      <c r="H104" s="70">
        <v>14.93</v>
      </c>
      <c r="I104" s="71">
        <v>613150400</v>
      </c>
    </row>
    <row r="105" spans="3:9">
      <c r="C105" s="69">
        <v>45261</v>
      </c>
      <c r="D105" s="70">
        <v>16.600000000000001</v>
      </c>
      <c r="E105" s="70">
        <v>17.34</v>
      </c>
      <c r="F105" s="70">
        <v>16.100000000000001</v>
      </c>
      <c r="G105" s="70">
        <v>16.78</v>
      </c>
      <c r="H105" s="70">
        <v>15.12</v>
      </c>
      <c r="I105" s="71">
        <v>801940700</v>
      </c>
    </row>
    <row r="106" spans="3:9">
      <c r="C106" s="69">
        <v>45292</v>
      </c>
      <c r="D106" s="70">
        <v>16.84</v>
      </c>
      <c r="E106" s="70">
        <v>17.82</v>
      </c>
      <c r="F106" s="70">
        <v>16.149999999999999</v>
      </c>
      <c r="G106" s="70">
        <v>17.690000000000001</v>
      </c>
      <c r="H106" s="70">
        <v>15.94</v>
      </c>
      <c r="I106" s="71">
        <v>928708600</v>
      </c>
    </row>
    <row r="107" spans="3:9">
      <c r="C107" s="69">
        <v>45323</v>
      </c>
      <c r="D107" s="70">
        <v>18.09</v>
      </c>
      <c r="E107" s="70">
        <v>18.16</v>
      </c>
      <c r="F107" s="70">
        <v>16.420000000000002</v>
      </c>
      <c r="G107" s="70">
        <v>16.93</v>
      </c>
      <c r="H107" s="70">
        <v>15.51</v>
      </c>
      <c r="I107" s="71">
        <v>728390000</v>
      </c>
    </row>
    <row r="108" spans="3:9">
      <c r="C108" s="69">
        <v>45352</v>
      </c>
      <c r="D108" s="70">
        <v>16.87</v>
      </c>
      <c r="E108" s="70">
        <v>17.7</v>
      </c>
      <c r="F108" s="70">
        <v>16.71</v>
      </c>
      <c r="G108" s="70">
        <v>17.600000000000001</v>
      </c>
      <c r="H108" s="70">
        <v>16.12</v>
      </c>
      <c r="I108" s="71">
        <v>713843200</v>
      </c>
    </row>
    <row r="109" spans="3:9">
      <c r="C109" s="69">
        <v>45383</v>
      </c>
      <c r="D109" s="70">
        <v>17.190000000000001</v>
      </c>
      <c r="E109" s="70">
        <v>17.88</v>
      </c>
      <c r="F109" s="70">
        <v>15.94</v>
      </c>
      <c r="G109" s="70">
        <v>16.89</v>
      </c>
      <c r="H109" s="70">
        <v>15.47</v>
      </c>
      <c r="I109" s="71">
        <v>895848400</v>
      </c>
    </row>
    <row r="110" spans="3:9">
      <c r="C110" s="69">
        <v>45413</v>
      </c>
      <c r="D110" s="70">
        <v>16.829999999999998</v>
      </c>
      <c r="E110" s="70">
        <v>18.27</v>
      </c>
      <c r="F110" s="70">
        <v>16.73</v>
      </c>
      <c r="G110" s="70">
        <v>18.22</v>
      </c>
      <c r="H110" s="70">
        <v>16.96</v>
      </c>
      <c r="I110" s="71">
        <v>645338100</v>
      </c>
    </row>
    <row r="111" spans="3:9">
      <c r="C111" s="69">
        <v>45444</v>
      </c>
      <c r="D111" s="70">
        <v>18.13</v>
      </c>
      <c r="E111" s="70">
        <v>19.13</v>
      </c>
      <c r="F111" s="70">
        <v>17.420000000000002</v>
      </c>
      <c r="G111" s="70">
        <v>19.11</v>
      </c>
      <c r="H111" s="70">
        <v>17.79</v>
      </c>
      <c r="I111" s="71">
        <v>660946500</v>
      </c>
    </row>
    <row r="112" spans="3:9">
      <c r="C112" s="69">
        <v>45474</v>
      </c>
      <c r="D112" s="70">
        <v>19.239999999999998</v>
      </c>
      <c r="E112" s="70">
        <v>19.739999999999998</v>
      </c>
      <c r="F112" s="70">
        <v>18.14</v>
      </c>
      <c r="G112" s="70">
        <v>19.25</v>
      </c>
      <c r="H112" s="70">
        <v>17.920000000000002</v>
      </c>
      <c r="I112" s="71">
        <v>788845200</v>
      </c>
    </row>
    <row r="113" spans="3:9">
      <c r="C113" s="69">
        <v>45505</v>
      </c>
      <c r="D113" s="70">
        <v>19.309999999999999</v>
      </c>
      <c r="E113" s="70">
        <v>19.989999999999998</v>
      </c>
      <c r="F113" s="70">
        <v>18.64</v>
      </c>
      <c r="G113" s="70">
        <v>19.899999999999999</v>
      </c>
      <c r="H113" s="70">
        <v>18.809999999999999</v>
      </c>
      <c r="I113" s="71">
        <v>597151700</v>
      </c>
    </row>
    <row r="114" spans="3:9">
      <c r="C114" s="69">
        <v>45536</v>
      </c>
      <c r="D114" s="70">
        <v>19.93</v>
      </c>
      <c r="E114" s="70">
        <v>22.34</v>
      </c>
      <c r="F114" s="70">
        <v>19.920000000000002</v>
      </c>
      <c r="G114" s="70">
        <v>22</v>
      </c>
      <c r="H114" s="70">
        <v>20.79</v>
      </c>
      <c r="I114" s="71">
        <v>829499200</v>
      </c>
    </row>
    <row r="115" spans="3:9">
      <c r="C115" s="69">
        <v>45566</v>
      </c>
      <c r="D115" s="70">
        <v>21.93</v>
      </c>
      <c r="E115" s="70">
        <v>22.6</v>
      </c>
      <c r="F115" s="70">
        <v>21.05</v>
      </c>
      <c r="G115" s="70">
        <v>22.54</v>
      </c>
      <c r="H115" s="70">
        <v>21.3</v>
      </c>
      <c r="I115" s="71">
        <v>757657000</v>
      </c>
    </row>
    <row r="116" spans="3:9">
      <c r="C116" s="69">
        <v>45597</v>
      </c>
      <c r="D116" s="70">
        <v>22.53</v>
      </c>
      <c r="E116" s="70">
        <v>23.38</v>
      </c>
      <c r="F116" s="70">
        <v>21.79</v>
      </c>
      <c r="G116" s="70">
        <v>23.16</v>
      </c>
      <c r="H116" s="70">
        <v>22.17</v>
      </c>
      <c r="I116" s="71">
        <v>622316700</v>
      </c>
    </row>
    <row r="117" spans="3:9">
      <c r="C117" s="69">
        <v>45627</v>
      </c>
      <c r="D117" s="70">
        <v>23.15</v>
      </c>
      <c r="E117" s="70">
        <v>24.03</v>
      </c>
      <c r="F117" s="70">
        <v>22.41</v>
      </c>
      <c r="G117" s="70">
        <v>22.77</v>
      </c>
      <c r="H117" s="70">
        <v>21.79</v>
      </c>
      <c r="I117" s="71">
        <v>769579600</v>
      </c>
    </row>
    <row r="118" spans="3:9">
      <c r="C118" s="69">
        <v>45658</v>
      </c>
      <c r="D118" s="70">
        <v>22.83</v>
      </c>
      <c r="E118" s="70">
        <v>24.98</v>
      </c>
      <c r="F118" s="70">
        <v>21.38</v>
      </c>
      <c r="G118" s="70">
        <v>23.73</v>
      </c>
      <c r="H118" s="70">
        <v>22.71</v>
      </c>
      <c r="I118" s="71">
        <v>789543400</v>
      </c>
    </row>
    <row r="119" spans="3:9">
      <c r="C119" s="69">
        <v>45689</v>
      </c>
      <c r="D119" s="70">
        <v>23.69</v>
      </c>
      <c r="E119" s="70">
        <v>27.49</v>
      </c>
      <c r="F119" s="70">
        <v>23.67</v>
      </c>
      <c r="G119" s="70">
        <v>27.41</v>
      </c>
      <c r="H119" s="70">
        <v>26.57</v>
      </c>
      <c r="I119" s="71">
        <v>759224000</v>
      </c>
    </row>
    <row r="120" spans="3:9">
      <c r="C120" s="69">
        <v>45717</v>
      </c>
      <c r="D120" s="70">
        <v>27.27</v>
      </c>
      <c r="E120" s="70">
        <v>28.56</v>
      </c>
      <c r="F120" s="70">
        <v>24.89</v>
      </c>
      <c r="G120" s="70">
        <v>28.28</v>
      </c>
      <c r="H120" s="70">
        <v>27.41</v>
      </c>
      <c r="I120" s="71">
        <v>978846500</v>
      </c>
    </row>
    <row r="121" spans="3:9">
      <c r="C121" s="69">
        <v>45748</v>
      </c>
      <c r="D121" s="70">
        <v>28.4</v>
      </c>
      <c r="E121" s="70">
        <v>29.03</v>
      </c>
      <c r="F121" s="70">
        <v>25.1</v>
      </c>
      <c r="G121" s="70">
        <v>27.7</v>
      </c>
      <c r="H121" s="70">
        <v>26.85</v>
      </c>
      <c r="I121" s="71">
        <v>902385300</v>
      </c>
    </row>
    <row r="122" spans="3:9">
      <c r="C122" s="69">
        <v>45778</v>
      </c>
      <c r="D122" s="70">
        <v>27.5</v>
      </c>
      <c r="E122" s="70">
        <v>28.4</v>
      </c>
      <c r="F122" s="70">
        <v>26.3</v>
      </c>
      <c r="G122" s="70">
        <v>27.8</v>
      </c>
      <c r="H122" s="70">
        <v>27.23</v>
      </c>
      <c r="I122" s="71">
        <v>699670400</v>
      </c>
    </row>
    <row r="123" spans="3:9">
      <c r="C123" s="69">
        <v>45809</v>
      </c>
      <c r="D123" s="70">
        <v>27.65</v>
      </c>
      <c r="E123" s="70">
        <v>29.02</v>
      </c>
      <c r="F123" s="70">
        <v>27.22</v>
      </c>
      <c r="G123" s="70">
        <v>28.94</v>
      </c>
      <c r="H123" s="70">
        <v>28.35</v>
      </c>
      <c r="I123" s="71">
        <v>617442400</v>
      </c>
    </row>
    <row r="124" spans="3:9">
      <c r="C124" s="69">
        <v>45839</v>
      </c>
      <c r="D124" s="70">
        <v>28.99</v>
      </c>
      <c r="E124" s="70">
        <v>29.19</v>
      </c>
      <c r="F124" s="70">
        <v>25.85</v>
      </c>
      <c r="G124" s="70">
        <v>27.41</v>
      </c>
      <c r="H124" s="70">
        <v>26.85</v>
      </c>
      <c r="I124" s="71">
        <v>726625100</v>
      </c>
    </row>
    <row r="125" spans="3:9">
      <c r="C125" s="69">
        <v>45870</v>
      </c>
      <c r="D125" s="70">
        <v>27.64</v>
      </c>
      <c r="E125" s="70">
        <v>29.65</v>
      </c>
      <c r="F125" s="70">
        <v>27.29</v>
      </c>
      <c r="G125" s="70">
        <v>29.29</v>
      </c>
      <c r="H125" s="70">
        <v>28.98</v>
      </c>
      <c r="I125" s="71">
        <v>620791200</v>
      </c>
    </row>
    <row r="126" spans="3:9">
      <c r="C126" s="69">
        <v>45901</v>
      </c>
      <c r="D126" s="70">
        <v>29.3</v>
      </c>
      <c r="E126" s="70">
        <v>29.79</v>
      </c>
      <c r="F126" s="70">
        <v>27.88</v>
      </c>
      <c r="G126" s="70">
        <v>28.24</v>
      </c>
      <c r="H126" s="70">
        <v>27.94</v>
      </c>
      <c r="I126" s="71">
        <v>638859900</v>
      </c>
    </row>
    <row r="127" spans="3:9">
      <c r="C127" s="70" t="s">
        <v>197</v>
      </c>
      <c r="D127" s="70">
        <v>28.05</v>
      </c>
      <c r="E127" s="70">
        <v>28.16</v>
      </c>
      <c r="F127" s="70">
        <v>24.32</v>
      </c>
      <c r="G127" s="70">
        <v>24.75</v>
      </c>
      <c r="H127" s="70">
        <v>24.49</v>
      </c>
      <c r="I127" s="71">
        <v>1441913000</v>
      </c>
    </row>
  </sheetData>
  <mergeCells count="4">
    <mergeCell ref="I1:J1"/>
    <mergeCell ref="I7:J7"/>
    <mergeCell ref="H12:I12"/>
    <mergeCell ref="K1:L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Balance Sheets</vt:lpstr>
      <vt:lpstr>Income Statements </vt:lpstr>
      <vt:lpstr>WACC</vt:lpstr>
      <vt:lpstr>Cost of Equity</vt:lpstr>
      <vt:lpstr>Bond Yields</vt:lpstr>
      <vt:lpstr>TGT</vt:lpstr>
      <vt:lpstr>Bloomberg Case 2 AT&amp;T</vt:lpstr>
      <vt:lpstr>AT&amp;T Cost of Equity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Li</dc:creator>
  <cp:keywords/>
  <dc:description/>
  <cp:lastModifiedBy>Ryan Li</cp:lastModifiedBy>
  <cp:revision/>
  <dcterms:created xsi:type="dcterms:W3CDTF">2025-10-02T16:53:19Z</dcterms:created>
  <dcterms:modified xsi:type="dcterms:W3CDTF">2026-06-12T19:53:04Z</dcterms:modified>
  <cp:category/>
  <cp:contentStatus/>
</cp:coreProperties>
</file>